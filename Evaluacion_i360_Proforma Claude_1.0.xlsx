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GoogleDrive/Mi unidad/Agencia/4. COMERCIAL/PROPUESTAS/Prototipo_Desarrollo/Caso/"/>
    </mc:Choice>
  </mc:AlternateContent>
  <xr:revisionPtr revIDLastSave="0" documentId="13_ncr:1_{6D61A280-2C8C-2042-8275-0EA57EAAEE81}" xr6:coauthVersionLast="47" xr6:coauthVersionMax="47" xr10:uidLastSave="{00000000-0000-0000-0000-000000000000}"/>
  <bookViews>
    <workbookView xWindow="0" yWindow="500" windowWidth="25600" windowHeight="15500" tabRatio="500" activeTab="1" xr2:uid="{00000000-000D-0000-FFFF-FFFF00000000}"/>
  </bookViews>
  <sheets>
    <sheet name="Superficies y Valores" sheetId="1" r:id="rId1"/>
    <sheet name="Detalle Costos" sheetId="2" r:id="rId2"/>
    <sheet name="Resultados" sheetId="3" r:id="rId3"/>
    <sheet name="VAN _ TI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8" i="4" l="1"/>
  <c r="I58" i="4"/>
  <c r="H58" i="4"/>
  <c r="G58" i="4"/>
  <c r="F58" i="4"/>
  <c r="E58" i="4"/>
  <c r="C58" i="4"/>
  <c r="B58" i="4"/>
  <c r="L57" i="4"/>
  <c r="I57" i="4"/>
  <c r="H57" i="4"/>
  <c r="G57" i="4"/>
  <c r="F57" i="4"/>
  <c r="E57" i="4"/>
  <c r="C57" i="4"/>
  <c r="B57" i="4"/>
  <c r="G56" i="4"/>
  <c r="F56" i="4"/>
  <c r="E56" i="4"/>
  <c r="B56" i="4"/>
  <c r="L55" i="4"/>
  <c r="I55" i="4"/>
  <c r="G55" i="4"/>
  <c r="E55" i="4"/>
  <c r="C55" i="4"/>
  <c r="G54" i="4"/>
  <c r="E54" i="4"/>
  <c r="L53" i="4"/>
  <c r="I53" i="4"/>
  <c r="G53" i="4"/>
  <c r="E53" i="4"/>
  <c r="C53" i="4"/>
  <c r="L52" i="4"/>
  <c r="I52" i="4"/>
  <c r="G52" i="4"/>
  <c r="E52" i="4"/>
  <c r="C52" i="4"/>
  <c r="L51" i="4"/>
  <c r="I51" i="4"/>
  <c r="G51" i="4"/>
  <c r="E51" i="4"/>
  <c r="C51" i="4"/>
  <c r="L50" i="4"/>
  <c r="I50" i="4"/>
  <c r="G50" i="4"/>
  <c r="E50" i="4"/>
  <c r="C50" i="4"/>
  <c r="L49" i="4"/>
  <c r="I49" i="4"/>
  <c r="G49" i="4"/>
  <c r="E49" i="4"/>
  <c r="C49" i="4"/>
  <c r="L48" i="4"/>
  <c r="I48" i="4"/>
  <c r="G48" i="4"/>
  <c r="E48" i="4"/>
  <c r="C48" i="4"/>
  <c r="L47" i="4"/>
  <c r="I47" i="4"/>
  <c r="G47" i="4"/>
  <c r="E47" i="4"/>
  <c r="C47" i="4"/>
  <c r="L46" i="4"/>
  <c r="I46" i="4"/>
  <c r="G46" i="4"/>
  <c r="E46" i="4"/>
  <c r="C46" i="4"/>
  <c r="L45" i="4"/>
  <c r="I45" i="4"/>
  <c r="G45" i="4"/>
  <c r="E45" i="4"/>
  <c r="C45" i="4"/>
  <c r="L44" i="4"/>
  <c r="I44" i="4"/>
  <c r="G44" i="4"/>
  <c r="E44" i="4"/>
  <c r="C44" i="4"/>
  <c r="L43" i="4"/>
  <c r="I43" i="4"/>
  <c r="G43" i="4"/>
  <c r="E43" i="4"/>
  <c r="C43" i="4"/>
  <c r="L42" i="4"/>
  <c r="I42" i="4"/>
  <c r="G42" i="4"/>
  <c r="E42" i="4"/>
  <c r="C42" i="4"/>
  <c r="L41" i="4"/>
  <c r="I41" i="4"/>
  <c r="G41" i="4"/>
  <c r="E41" i="4"/>
  <c r="C41" i="4"/>
  <c r="L40" i="4"/>
  <c r="I40" i="4"/>
  <c r="G40" i="4"/>
  <c r="E40" i="4"/>
  <c r="C40" i="4"/>
  <c r="L39" i="4"/>
  <c r="I39" i="4"/>
  <c r="E39" i="4"/>
  <c r="C39" i="4"/>
  <c r="L38" i="4"/>
  <c r="I38" i="4"/>
  <c r="E38" i="4"/>
  <c r="C38" i="4"/>
  <c r="L37" i="4"/>
  <c r="I37" i="4"/>
  <c r="H37" i="4"/>
  <c r="E37" i="4"/>
  <c r="C37" i="4"/>
  <c r="B37" i="4"/>
  <c r="L36" i="4"/>
  <c r="I36" i="4"/>
  <c r="H36" i="4"/>
  <c r="E36" i="4"/>
  <c r="C36" i="4"/>
  <c r="B36" i="4"/>
  <c r="L35" i="4"/>
  <c r="I35" i="4"/>
  <c r="H35" i="4"/>
  <c r="F35" i="4"/>
  <c r="C35" i="4"/>
  <c r="B35" i="4"/>
  <c r="C5" i="4"/>
  <c r="E52" i="2"/>
  <c r="E51" i="2"/>
  <c r="E39" i="2"/>
  <c r="E38" i="2" s="1"/>
  <c r="C38" i="2"/>
  <c r="E37" i="2"/>
  <c r="E36" i="2"/>
  <c r="E35" i="2"/>
  <c r="E34" i="2"/>
  <c r="E33" i="2"/>
  <c r="E32" i="2"/>
  <c r="C31" i="2"/>
  <c r="E31" i="2" s="1"/>
  <c r="E30" i="2"/>
  <c r="E29" i="2"/>
  <c r="C29" i="2"/>
  <c r="C28" i="2" s="1"/>
  <c r="C27" i="2"/>
  <c r="E27" i="2" s="1"/>
  <c r="E26" i="2"/>
  <c r="E24" i="2"/>
  <c r="E21" i="2"/>
  <c r="E20" i="2"/>
  <c r="E19" i="2"/>
  <c r="E18" i="2"/>
  <c r="C18" i="2"/>
  <c r="E6" i="2"/>
  <c r="E5" i="2"/>
  <c r="E7" i="2" s="1"/>
  <c r="E4" i="2" s="1"/>
  <c r="D4" i="2" s="1"/>
  <c r="X32" i="1"/>
  <c r="K28" i="1"/>
  <c r="C23" i="2" s="1"/>
  <c r="K25" i="1"/>
  <c r="C25" i="2" s="1"/>
  <c r="E25" i="2" s="1"/>
  <c r="I20" i="1"/>
  <c r="H20" i="1"/>
  <c r="G20" i="1"/>
  <c r="C17" i="2" s="1"/>
  <c r="E17" i="2" s="1"/>
  <c r="F20" i="1"/>
  <c r="E20" i="1"/>
  <c r="C16" i="2" s="1"/>
  <c r="E16" i="2" s="1"/>
  <c r="D20" i="1"/>
  <c r="C13" i="2" s="1"/>
  <c r="B20" i="1"/>
  <c r="R19" i="1"/>
  <c r="Q19" i="1"/>
  <c r="O19" i="1"/>
  <c r="L19" i="1"/>
  <c r="K19" i="1"/>
  <c r="R18" i="1"/>
  <c r="Q18" i="1"/>
  <c r="O18" i="1"/>
  <c r="L18" i="1"/>
  <c r="K18" i="1"/>
  <c r="R17" i="1"/>
  <c r="Q17" i="1"/>
  <c r="O17" i="1"/>
  <c r="L17" i="1"/>
  <c r="K17" i="1"/>
  <c r="R16" i="1"/>
  <c r="Q16" i="1"/>
  <c r="O16" i="1"/>
  <c r="L16" i="1"/>
  <c r="K16" i="1"/>
  <c r="R15" i="1"/>
  <c r="Q15" i="1"/>
  <c r="O15" i="1"/>
  <c r="L15" i="1"/>
  <c r="K15" i="1"/>
  <c r="R14" i="1"/>
  <c r="Q14" i="1"/>
  <c r="O14" i="1"/>
  <c r="L14" i="1"/>
  <c r="K14" i="1"/>
  <c r="R13" i="1"/>
  <c r="Q13" i="1" s="1"/>
  <c r="O13" i="1"/>
  <c r="L13" i="1"/>
  <c r="K13" i="1"/>
  <c r="L12" i="1"/>
  <c r="O12" i="1" s="1"/>
  <c r="R12" i="1" s="1"/>
  <c r="Q12" i="1" s="1"/>
  <c r="K12" i="1"/>
  <c r="L11" i="1"/>
  <c r="O11" i="1" s="1"/>
  <c r="R11" i="1" s="1"/>
  <c r="Q11" i="1" s="1"/>
  <c r="K11" i="1"/>
  <c r="O10" i="1"/>
  <c r="L10" i="1"/>
  <c r="K10" i="1"/>
  <c r="K20" i="1" s="1"/>
  <c r="I8" i="1"/>
  <c r="I22" i="1" s="1"/>
  <c r="H8" i="1"/>
  <c r="H22" i="1" s="1"/>
  <c r="C14" i="2" s="1"/>
  <c r="E14" i="2" s="1"/>
  <c r="G8" i="1"/>
  <c r="G22" i="1" s="1"/>
  <c r="F8" i="1"/>
  <c r="F22" i="1" s="1"/>
  <c r="E8" i="1"/>
  <c r="E22" i="1" s="1"/>
  <c r="D8" i="1"/>
  <c r="C15" i="2" s="1"/>
  <c r="E15" i="2" s="1"/>
  <c r="B8" i="1"/>
  <c r="N8" i="1" s="1"/>
  <c r="L7" i="1"/>
  <c r="O7" i="1" s="1"/>
  <c r="R7" i="1" s="1"/>
  <c r="K7" i="1"/>
  <c r="K8" i="1" s="1"/>
  <c r="R6" i="1"/>
  <c r="Q6" i="1"/>
  <c r="O6" i="1"/>
  <c r="L6" i="1"/>
  <c r="L8" i="1" s="1"/>
  <c r="K6" i="1"/>
  <c r="R5" i="1"/>
  <c r="Q5" i="1"/>
  <c r="O5" i="1"/>
  <c r="L5" i="1"/>
  <c r="K5" i="1"/>
  <c r="D58" i="4" l="1"/>
  <c r="D35" i="4"/>
  <c r="D37" i="4"/>
  <c r="J57" i="4"/>
  <c r="M57" i="4" s="1"/>
  <c r="D36" i="4"/>
  <c r="D57" i="4"/>
  <c r="J58" i="4"/>
  <c r="M58" i="4" s="1"/>
  <c r="C22" i="2"/>
  <c r="E23" i="2"/>
  <c r="E22" i="2" s="1"/>
  <c r="Q7" i="1"/>
  <c r="Q8" i="1" s="1"/>
  <c r="R8" i="1"/>
  <c r="O20" i="1"/>
  <c r="O8" i="1"/>
  <c r="K22" i="1"/>
  <c r="K29" i="1" s="1"/>
  <c r="C12" i="2"/>
  <c r="C11" i="2" s="1"/>
  <c r="E13" i="2"/>
  <c r="E12" i="2" s="1"/>
  <c r="E28" i="2"/>
  <c r="C16" i="4"/>
  <c r="E35" i="4" s="1"/>
  <c r="D11" i="3"/>
  <c r="L20" i="1"/>
  <c r="L22" i="1" s="1"/>
  <c r="G2" i="2" s="1"/>
  <c r="N20" i="1"/>
  <c r="B22" i="1"/>
  <c r="R10" i="1"/>
  <c r="D22" i="1"/>
  <c r="N58" i="4" l="1"/>
  <c r="K57" i="4"/>
  <c r="O22" i="1"/>
  <c r="O23" i="1" s="1"/>
  <c r="N57" i="4"/>
  <c r="K58" i="4"/>
  <c r="H52" i="2"/>
  <c r="H51" i="2"/>
  <c r="H50" i="2"/>
  <c r="H43" i="2"/>
  <c r="H44" i="2"/>
  <c r="H40" i="2"/>
  <c r="H37" i="2"/>
  <c r="H45" i="2"/>
  <c r="H41" i="2"/>
  <c r="H61" i="2"/>
  <c r="H30" i="2"/>
  <c r="H29" i="2"/>
  <c r="H24" i="2"/>
  <c r="H23" i="2"/>
  <c r="H16" i="2"/>
  <c r="H42" i="2"/>
  <c r="H15" i="2"/>
  <c r="H39" i="2"/>
  <c r="H38" i="2" s="1"/>
  <c r="H27" i="2"/>
  <c r="H21" i="2"/>
  <c r="H20" i="2"/>
  <c r="H19" i="2"/>
  <c r="H18" i="2" s="1"/>
  <c r="H14" i="2"/>
  <c r="H36" i="2"/>
  <c r="H35" i="2"/>
  <c r="H34" i="2"/>
  <c r="H33" i="2"/>
  <c r="H32" i="2"/>
  <c r="H31" i="2"/>
  <c r="H26" i="2"/>
  <c r="H25" i="2"/>
  <c r="H17" i="2"/>
  <c r="H13" i="2"/>
  <c r="H12" i="2" s="1"/>
  <c r="H7" i="2"/>
  <c r="H6" i="2"/>
  <c r="H5" i="2"/>
  <c r="H4" i="2"/>
  <c r="Q10" i="1"/>
  <c r="Q20" i="1" s="1"/>
  <c r="R20" i="1"/>
  <c r="R22" i="1" s="1"/>
  <c r="E11" i="2"/>
  <c r="E10" i="2"/>
  <c r="L23" i="1"/>
  <c r="K23" i="1"/>
  <c r="E23" i="1"/>
  <c r="D23" i="1"/>
  <c r="C47" i="2"/>
  <c r="C8" i="2"/>
  <c r="C15" i="4" l="1"/>
  <c r="C54" i="4" s="1"/>
  <c r="D6" i="3"/>
  <c r="E2" i="2"/>
  <c r="R23" i="1"/>
  <c r="C17" i="4"/>
  <c r="E64" i="2"/>
  <c r="H64" i="2" s="1"/>
  <c r="E63" i="2"/>
  <c r="H63" i="2" s="1"/>
  <c r="E62" i="2"/>
  <c r="H62" i="2" s="1"/>
  <c r="E9" i="2"/>
  <c r="H9" i="2" s="1"/>
  <c r="H22" i="2"/>
  <c r="H11" i="2" s="1"/>
  <c r="C9" i="2"/>
  <c r="C10" i="2"/>
  <c r="D10" i="2" s="1"/>
  <c r="C48" i="2"/>
  <c r="E48" i="2" s="1"/>
  <c r="H48" i="2" s="1"/>
  <c r="E47" i="2"/>
  <c r="C54" i="2"/>
  <c r="E54" i="2" s="1"/>
  <c r="H54" i="2" s="1"/>
  <c r="C53" i="2"/>
  <c r="E53" i="2" s="1"/>
  <c r="H53" i="2" s="1"/>
  <c r="C49" i="2"/>
  <c r="E49" i="2" s="1"/>
  <c r="H49" i="2" s="1"/>
  <c r="H10" i="2"/>
  <c r="H28" i="2"/>
  <c r="F54" i="2" l="1"/>
  <c r="F45" i="2"/>
  <c r="F64" i="2"/>
  <c r="F63" i="2"/>
  <c r="F62" i="2"/>
  <c r="F61" i="2"/>
  <c r="E60" i="2"/>
  <c r="H60" i="2" s="1"/>
  <c r="E59" i="2"/>
  <c r="H59" i="2" s="1"/>
  <c r="E58" i="2"/>
  <c r="H58" i="2" s="1"/>
  <c r="E57" i="2"/>
  <c r="H57" i="2" s="1"/>
  <c r="E56" i="2"/>
  <c r="F56" i="2" s="1"/>
  <c r="F53" i="2"/>
  <c r="F49" i="2"/>
  <c r="F42" i="2"/>
  <c r="F52" i="2"/>
  <c r="F51" i="2"/>
  <c r="F50" i="2"/>
  <c r="F48" i="2"/>
  <c r="F43" i="2"/>
  <c r="F39" i="2"/>
  <c r="F44" i="2"/>
  <c r="F41" i="2"/>
  <c r="F27" i="2"/>
  <c r="F21" i="2"/>
  <c r="F20" i="2"/>
  <c r="F19" i="2"/>
  <c r="F14" i="2"/>
  <c r="F10" i="2"/>
  <c r="F47" i="2"/>
  <c r="F40" i="2"/>
  <c r="F38" i="2"/>
  <c r="F37" i="2"/>
  <c r="F36" i="2"/>
  <c r="F35" i="2"/>
  <c r="F34" i="2"/>
  <c r="F33" i="2"/>
  <c r="F32" i="2"/>
  <c r="F31" i="2"/>
  <c r="F26" i="2"/>
  <c r="F25" i="2"/>
  <c r="F17" i="2"/>
  <c r="F13" i="2"/>
  <c r="F7" i="2"/>
  <c r="F6" i="2"/>
  <c r="F5" i="2"/>
  <c r="F4" i="2"/>
  <c r="F30" i="2"/>
  <c r="F29" i="2"/>
  <c r="F24" i="2"/>
  <c r="F23" i="2"/>
  <c r="F16" i="2"/>
  <c r="F9" i="2"/>
  <c r="F15" i="2"/>
  <c r="F8" i="2"/>
  <c r="E46" i="2"/>
  <c r="F46" i="2" s="1"/>
  <c r="H47" i="2"/>
  <c r="E8" i="2"/>
  <c r="F52" i="4"/>
  <c r="F48" i="4"/>
  <c r="F44" i="4"/>
  <c r="F40" i="4"/>
  <c r="F36" i="4"/>
  <c r="F55" i="4"/>
  <c r="F51" i="4"/>
  <c r="F47" i="4"/>
  <c r="F43" i="4"/>
  <c r="F39" i="4"/>
  <c r="F54" i="4"/>
  <c r="F50" i="4"/>
  <c r="F46" i="4"/>
  <c r="F42" i="4"/>
  <c r="F38" i="4"/>
  <c r="F53" i="4"/>
  <c r="F49" i="4"/>
  <c r="F45" i="4"/>
  <c r="F41" i="4"/>
  <c r="F37" i="4"/>
  <c r="B52" i="4"/>
  <c r="D52" i="4" s="1"/>
  <c r="B48" i="4"/>
  <c r="D48" i="4" s="1"/>
  <c r="B44" i="4"/>
  <c r="D44" i="4" s="1"/>
  <c r="B40" i="4"/>
  <c r="D40" i="4" s="1"/>
  <c r="B55" i="4"/>
  <c r="D55" i="4" s="1"/>
  <c r="B51" i="4"/>
  <c r="D51" i="4" s="1"/>
  <c r="B47" i="4"/>
  <c r="D47" i="4" s="1"/>
  <c r="B43" i="4"/>
  <c r="D43" i="4" s="1"/>
  <c r="B39" i="4"/>
  <c r="D39" i="4" s="1"/>
  <c r="B54" i="4"/>
  <c r="D54" i="4" s="1"/>
  <c r="B50" i="4"/>
  <c r="D50" i="4" s="1"/>
  <c r="B46" i="4"/>
  <c r="D46" i="4" s="1"/>
  <c r="B42" i="4"/>
  <c r="D42" i="4" s="1"/>
  <c r="B38" i="4"/>
  <c r="D38" i="4" s="1"/>
  <c r="C56" i="4"/>
  <c r="D56" i="4" s="1"/>
  <c r="B53" i="4"/>
  <c r="D53" i="4" s="1"/>
  <c r="B49" i="4"/>
  <c r="D49" i="4" s="1"/>
  <c r="B45" i="4"/>
  <c r="D45" i="4" s="1"/>
  <c r="B41" i="4"/>
  <c r="D41" i="4" s="1"/>
  <c r="F22" i="2" l="1"/>
  <c r="F18" i="2"/>
  <c r="F60" i="2"/>
  <c r="F57" i="2"/>
  <c r="F28" i="2"/>
  <c r="F58" i="2"/>
  <c r="H8" i="2"/>
  <c r="D8" i="2"/>
  <c r="C18" i="4"/>
  <c r="H46" i="2"/>
  <c r="E55" i="2"/>
  <c r="C19" i="4" s="1"/>
  <c r="H56" i="2"/>
  <c r="H55" i="2" s="1"/>
  <c r="F59" i="2"/>
  <c r="F12" i="2"/>
  <c r="F55" i="2" l="1"/>
  <c r="F11" i="2"/>
  <c r="H54" i="4"/>
  <c r="H50" i="4"/>
  <c r="J50" i="4" s="1"/>
  <c r="H46" i="4"/>
  <c r="J46" i="4" s="1"/>
  <c r="H42" i="4"/>
  <c r="J42" i="4" s="1"/>
  <c r="H38" i="4"/>
  <c r="H53" i="4"/>
  <c r="J53" i="4" s="1"/>
  <c r="H49" i="4"/>
  <c r="J49" i="4" s="1"/>
  <c r="H45" i="4"/>
  <c r="J45" i="4" s="1"/>
  <c r="H41" i="4"/>
  <c r="J41" i="4" s="1"/>
  <c r="H56" i="4"/>
  <c r="H52" i="4"/>
  <c r="J52" i="4" s="1"/>
  <c r="H48" i="4"/>
  <c r="J48" i="4" s="1"/>
  <c r="H44" i="4"/>
  <c r="J44" i="4" s="1"/>
  <c r="H40" i="4"/>
  <c r="J40" i="4" s="1"/>
  <c r="H55" i="4"/>
  <c r="J55" i="4" s="1"/>
  <c r="H51" i="4"/>
  <c r="J51" i="4" s="1"/>
  <c r="H47" i="4"/>
  <c r="J47" i="4" s="1"/>
  <c r="H43" i="4"/>
  <c r="J43" i="4" s="1"/>
  <c r="H39" i="4"/>
  <c r="E66" i="2"/>
  <c r="G39" i="4"/>
  <c r="G35" i="4"/>
  <c r="J35" i="4" s="1"/>
  <c r="G38" i="4"/>
  <c r="G37" i="4"/>
  <c r="J37" i="4" s="1"/>
  <c r="G36" i="4"/>
  <c r="J36" i="4" s="1"/>
  <c r="J39" i="4" l="1"/>
  <c r="M39" i="4" s="1"/>
  <c r="N39" i="4" s="1"/>
  <c r="J38" i="4"/>
  <c r="M38" i="4" s="1"/>
  <c r="N38" i="4" s="1"/>
  <c r="M37" i="4"/>
  <c r="N37" i="4" s="1"/>
  <c r="K37" i="4"/>
  <c r="M51" i="4"/>
  <c r="N51" i="4" s="1"/>
  <c r="K51" i="4"/>
  <c r="M48" i="4"/>
  <c r="N48" i="4" s="1"/>
  <c r="K48" i="4"/>
  <c r="M45" i="4"/>
  <c r="N45" i="4" s="1"/>
  <c r="K45" i="4"/>
  <c r="M42" i="4"/>
  <c r="N42" i="4" s="1"/>
  <c r="K42" i="4"/>
  <c r="E67" i="2"/>
  <c r="E68" i="2" s="1"/>
  <c r="H66" i="2"/>
  <c r="F66" i="2"/>
  <c r="M55" i="4"/>
  <c r="N55" i="4" s="1"/>
  <c r="K55" i="4"/>
  <c r="M52" i="4"/>
  <c r="N52" i="4" s="1"/>
  <c r="K52" i="4"/>
  <c r="M49" i="4"/>
  <c r="N49" i="4" s="1"/>
  <c r="K49" i="4"/>
  <c r="M46" i="4"/>
  <c r="N46" i="4" s="1"/>
  <c r="K46" i="4"/>
  <c r="M35" i="4"/>
  <c r="N35" i="4" s="1"/>
  <c r="K35" i="4"/>
  <c r="M43" i="4"/>
  <c r="N43" i="4" s="1"/>
  <c r="K43" i="4"/>
  <c r="M40" i="4"/>
  <c r="N40" i="4" s="1"/>
  <c r="K40" i="4"/>
  <c r="M53" i="4"/>
  <c r="N53" i="4" s="1"/>
  <c r="K53" i="4"/>
  <c r="M50" i="4"/>
  <c r="N50" i="4" s="1"/>
  <c r="K50" i="4"/>
  <c r="M36" i="4"/>
  <c r="N36" i="4" s="1"/>
  <c r="K36" i="4"/>
  <c r="M47" i="4"/>
  <c r="N47" i="4" s="1"/>
  <c r="K47" i="4"/>
  <c r="M44" i="4"/>
  <c r="N44" i="4" s="1"/>
  <c r="K44" i="4"/>
  <c r="M41" i="4"/>
  <c r="N41" i="4" s="1"/>
  <c r="K41" i="4"/>
  <c r="K38" i="4" l="1"/>
  <c r="K39" i="4"/>
  <c r="C20" i="4"/>
  <c r="H67" i="2"/>
  <c r="F67" i="2"/>
  <c r="D7" i="3"/>
  <c r="D10" i="3" s="1"/>
  <c r="E69" i="2"/>
  <c r="C22" i="4"/>
  <c r="H68" i="2"/>
  <c r="F68" i="2"/>
  <c r="I56" i="4" l="1"/>
  <c r="J56" i="4" s="1"/>
  <c r="K56" i="4" s="1"/>
  <c r="I54" i="4"/>
  <c r="J54" i="4" s="1"/>
  <c r="C21" i="4"/>
  <c r="H69" i="2"/>
  <c r="F69" i="2"/>
  <c r="E70" i="2"/>
  <c r="L56" i="4" l="1"/>
  <c r="M56" i="4" s="1"/>
  <c r="N56" i="4" s="1"/>
  <c r="L54" i="4"/>
  <c r="M54" i="4" s="1"/>
  <c r="N54" i="4" s="1"/>
  <c r="K54" i="4"/>
  <c r="D8" i="3"/>
  <c r="G70" i="2"/>
  <c r="G69" i="2"/>
  <c r="G68" i="2"/>
  <c r="G67" i="2"/>
  <c r="G66" i="2"/>
  <c r="G64" i="2"/>
  <c r="G63" i="2"/>
  <c r="G62" i="2"/>
  <c r="G61" i="2"/>
  <c r="G53" i="2"/>
  <c r="G49" i="2"/>
  <c r="G52" i="2"/>
  <c r="G51" i="2"/>
  <c r="G50" i="2"/>
  <c r="G48" i="2"/>
  <c r="G43" i="2"/>
  <c r="G39" i="2"/>
  <c r="C23" i="4"/>
  <c r="G47" i="2"/>
  <c r="G44" i="2"/>
  <c r="G40" i="2"/>
  <c r="G60" i="2"/>
  <c r="G59" i="2"/>
  <c r="G58" i="2"/>
  <c r="G57" i="2"/>
  <c r="G56" i="2"/>
  <c r="G37" i="2"/>
  <c r="G36" i="2"/>
  <c r="G35" i="2"/>
  <c r="G34" i="2"/>
  <c r="G33" i="2"/>
  <c r="G32" i="2"/>
  <c r="G31" i="2"/>
  <c r="G26" i="2"/>
  <c r="G25" i="2"/>
  <c r="G17" i="2"/>
  <c r="G13" i="2"/>
  <c r="G7" i="2"/>
  <c r="G6" i="2"/>
  <c r="G5" i="2"/>
  <c r="G4" i="2"/>
  <c r="G54" i="2"/>
  <c r="G30" i="2"/>
  <c r="G29" i="2"/>
  <c r="G24" i="2"/>
  <c r="G23" i="2"/>
  <c r="G16" i="2"/>
  <c r="G9" i="2"/>
  <c r="G46" i="2"/>
  <c r="G42" i="2"/>
  <c r="G15" i="2"/>
  <c r="G8" i="2"/>
  <c r="G45" i="2"/>
  <c r="G41" i="2"/>
  <c r="G27" i="2"/>
  <c r="G21" i="2"/>
  <c r="G20" i="2"/>
  <c r="G19" i="2"/>
  <c r="G14" i="2"/>
  <c r="G10" i="2"/>
  <c r="H70" i="2"/>
  <c r="F70" i="2"/>
  <c r="G5" i="4"/>
  <c r="G12" i="2" l="1"/>
  <c r="G12" i="4"/>
  <c r="D19" i="3" s="1"/>
  <c r="G9" i="4"/>
  <c r="G6" i="4"/>
  <c r="G11" i="4"/>
  <c r="D18" i="3" s="1"/>
  <c r="G8" i="4"/>
  <c r="G18" i="2"/>
  <c r="G28" i="2"/>
  <c r="D13" i="3"/>
  <c r="D15" i="3" s="1"/>
  <c r="G22" i="2"/>
  <c r="G55" i="2"/>
  <c r="G38" i="2"/>
  <c r="G11" i="2" l="1"/>
  <c r="D14" i="3"/>
  <c r="D16" i="3"/>
</calcChain>
</file>

<file path=xl/sharedStrings.xml><?xml version="1.0" encoding="utf-8"?>
<sst xmlns="http://schemas.openxmlformats.org/spreadsheetml/2006/main" count="229" uniqueCount="182">
  <si>
    <t>Proforma Evaluación</t>
  </si>
  <si>
    <t>Superficies y valores</t>
  </si>
  <si>
    <t>solo unidades</t>
  </si>
  <si>
    <t>con 1 est + bod</t>
  </si>
  <si>
    <t>Tipología</t>
  </si>
  <si>
    <t>Cant</t>
  </si>
  <si>
    <t>m2 int</t>
  </si>
  <si>
    <t>m2 terr.</t>
  </si>
  <si>
    <t>m2 terr. azot.</t>
  </si>
  <si>
    <t>m2 bod. Habitable</t>
  </si>
  <si>
    <t>Uso y Goce</t>
  </si>
  <si>
    <t>m2 jardín</t>
  </si>
  <si>
    <t>m2 totales</t>
  </si>
  <si>
    <t>m2 calc. venta</t>
  </si>
  <si>
    <t>UF/m2</t>
  </si>
  <si>
    <t>UF</t>
  </si>
  <si>
    <t>Taller 1</t>
  </si>
  <si>
    <t>Taller 2</t>
  </si>
  <si>
    <t>Local 1</t>
  </si>
  <si>
    <t>Sub Total Locales</t>
  </si>
  <si>
    <t>Piso 2 - Tipo A</t>
  </si>
  <si>
    <t>Piso 2 - Tipo B</t>
  </si>
  <si>
    <t>Piso 3-5 - Tipo A</t>
  </si>
  <si>
    <t>Piso 3-5 - Tipo B</t>
  </si>
  <si>
    <t>Piso xxx</t>
  </si>
  <si>
    <t>Azotea libre</t>
  </si>
  <si>
    <t>Sub Total Departamentos</t>
  </si>
  <si>
    <t>Total</t>
  </si>
  <si>
    <t>Promedio</t>
  </si>
  <si>
    <t>Superficie Acceso Edificio</t>
  </si>
  <si>
    <t>Superficie Estacionamientos Primer Piso</t>
  </si>
  <si>
    <t>Superficie Bodegas / Salas Servicio Primer Piso</t>
  </si>
  <si>
    <t>Superficie Circulaciones</t>
  </si>
  <si>
    <t>Precio Unitario Estacionamiento</t>
  </si>
  <si>
    <t>Precio Unitario Bodega</t>
  </si>
  <si>
    <t>Leyenda:</t>
  </si>
  <si>
    <t xml:space="preserve">  Input (editable)</t>
  </si>
  <si>
    <t xml:space="preserve">  Fórmula (calculada)</t>
  </si>
  <si>
    <t xml:space="preserve">  Referencia cruzada (otra hoja)</t>
  </si>
  <si>
    <t>Nota: J21 (Total m2 venta) alimenta Detalle Costos</t>
  </si>
  <si>
    <t>Detalle Costos</t>
  </si>
  <si>
    <t>Ingresos Totales (UF) →</t>
  </si>
  <si>
    <t>m2 útil total →</t>
  </si>
  <si>
    <t>Ítem</t>
  </si>
  <si>
    <t>Sub-ítem</t>
  </si>
  <si>
    <t>m2</t>
  </si>
  <si>
    <t>% total ventas</t>
  </si>
  <si>
    <t>% total costos</t>
  </si>
  <si>
    <t>UF/m2 útil</t>
  </si>
  <si>
    <t>Terreno</t>
  </si>
  <si>
    <t>Lote 1</t>
  </si>
  <si>
    <t>Demolición</t>
  </si>
  <si>
    <t>Corretaje / Estructuración</t>
  </si>
  <si>
    <t>Construcción con IVA</t>
  </si>
  <si>
    <t>IVA Construcción</t>
  </si>
  <si>
    <t>Construcción sin IVA</t>
  </si>
  <si>
    <t>(incluye techada exterior)</t>
  </si>
  <si>
    <t>Departamentos</t>
  </si>
  <si>
    <t>Interior Departamentos</t>
  </si>
  <si>
    <t>Interior Locales Comerciales</t>
  </si>
  <si>
    <t>Terraza</t>
  </si>
  <si>
    <t>Bodega habitable</t>
  </si>
  <si>
    <t>Subterraneos</t>
  </si>
  <si>
    <t xml:space="preserve">Estacionamientos </t>
  </si>
  <si>
    <t xml:space="preserve">Bodegas </t>
  </si>
  <si>
    <t>Otras Superficies Comunes</t>
  </si>
  <si>
    <t>Superficies Comunes</t>
  </si>
  <si>
    <t xml:space="preserve">Circulaciones </t>
  </si>
  <si>
    <t>Superficie ascensores</t>
  </si>
  <si>
    <t>Superficie acceso edificio</t>
  </si>
  <si>
    <t>Azotea comun</t>
  </si>
  <si>
    <t>Bodegas Primer Piso</t>
  </si>
  <si>
    <t>Tratamiento Superficies Exteriores</t>
  </si>
  <si>
    <t>Urbanización</t>
  </si>
  <si>
    <t>Urbanización Área Afecta</t>
  </si>
  <si>
    <t>Estacionamientos Primer Piso</t>
  </si>
  <si>
    <t>Paisajismo comunes</t>
  </si>
  <si>
    <t>Paisajismo jardines privados</t>
  </si>
  <si>
    <t>Paisajismo con techo</t>
  </si>
  <si>
    <t>Circulación Est. Primer Piso</t>
  </si>
  <si>
    <t>Terraza Azotea Comun</t>
  </si>
  <si>
    <t>Terrazas Azotea Departamentos</t>
  </si>
  <si>
    <t>Obras Complementarias</t>
  </si>
  <si>
    <t>Cierre Perimetral</t>
  </si>
  <si>
    <t>Sala Común</t>
  </si>
  <si>
    <t>Piscina</t>
  </si>
  <si>
    <t>Deck</t>
  </si>
  <si>
    <t>Movimientos de Tierra / Excavaciones</t>
  </si>
  <si>
    <t>Ascensor / Montacarga</t>
  </si>
  <si>
    <t>Otros</t>
  </si>
  <si>
    <t>Proyectos / Permisos / Empalmes</t>
  </si>
  <si>
    <t>Arquitectura</t>
  </si>
  <si>
    <t>Cálculo</t>
  </si>
  <si>
    <t>Especialidades</t>
  </si>
  <si>
    <t>ITO Licitación y Coordinación</t>
  </si>
  <si>
    <t>ITO (UF/mes)</t>
  </si>
  <si>
    <t>Requerimiento Espacio Público / Otros</t>
  </si>
  <si>
    <t>Derechos Municipales</t>
  </si>
  <si>
    <t>Empalmes</t>
  </si>
  <si>
    <t>Administración / Ventas / Legales</t>
  </si>
  <si>
    <t>Gestión de Proyecto 360 inmobiliaria</t>
  </si>
  <si>
    <t>ventas</t>
  </si>
  <si>
    <t>Gestión de Venta</t>
  </si>
  <si>
    <t>Marketing Administración</t>
  </si>
  <si>
    <t>Marketing Producción</t>
  </si>
  <si>
    <t>Legales</t>
  </si>
  <si>
    <t>Pólizas Venta en Verde</t>
  </si>
  <si>
    <t>Imprevistos</t>
  </si>
  <si>
    <t>costo construcción</t>
  </si>
  <si>
    <t>Post Venta</t>
  </si>
  <si>
    <t>TOTAL INVERSIÓN</t>
  </si>
  <si>
    <t>COSTO FINANCIERO</t>
  </si>
  <si>
    <t>COSTO TOTAL ANTES DE IVA</t>
  </si>
  <si>
    <t>COSTO IVA A PAGAR</t>
  </si>
  <si>
    <t>COSTO TOTAL CON IVA A PAGAR</t>
  </si>
  <si>
    <t>Nota: Los totales alimentan la hoja 'Resultados'</t>
  </si>
  <si>
    <t>Resultados</t>
  </si>
  <si>
    <t>Vinculado: Ingresos ← Superficies | Costos ← Detalle Costos</t>
  </si>
  <si>
    <t>RESULTADOS</t>
  </si>
  <si>
    <t>Ingresos</t>
  </si>
  <si>
    <t>Costo</t>
  </si>
  <si>
    <t>Proyecto Puro</t>
  </si>
  <si>
    <t>Proyecto Financiado</t>
  </si>
  <si>
    <t>Capital</t>
  </si>
  <si>
    <t>Requerido Flujo</t>
  </si>
  <si>
    <t>Requerido s/terreno</t>
  </si>
  <si>
    <t>Margen</t>
  </si>
  <si>
    <t>% Ventas</t>
  </si>
  <si>
    <t>% Costo Total</t>
  </si>
  <si>
    <t>% Capital Flujo</t>
  </si>
  <si>
    <t>TIR</t>
  </si>
  <si>
    <t>Nota: Esc2 recalcula ingresos y costos ajustando por ratio de precio UF/m2</t>
  </si>
  <si>
    <t>Nota: Capital y TIR son inputs manuales (provienen del modelo de flujo de caja)</t>
  </si>
  <si>
    <t>VAN y TIR — Análisis de Rentabilidad</t>
  </si>
  <si>
    <t>Modelo de Flujos de Caja Mensual</t>
  </si>
  <si>
    <t>PARÁMETROS DE EVALUACIÓN</t>
  </si>
  <si>
    <t>Tasa de descuento mensual (input)</t>
  </si>
  <si>
    <t>Tasa de descuento anual equivalente</t>
  </si>
  <si>
    <t>Período de análisis (meses)</t>
  </si>
  <si>
    <t>Duración de construcción (meses)</t>
  </si>
  <si>
    <t>Mes de inicio de pre-ventas (input)</t>
  </si>
  <si>
    <t>Mes de entrega — recepción final (input)</t>
  </si>
  <si>
    <t>% Ingresos cobrados en pre-venta (input)</t>
  </si>
  <si>
    <t>Mes inicio — Proyectos, Permisos y Empalmes (input)</t>
  </si>
  <si>
    <t>Mes término — Proyectos, Permisos y Empalmes (input)</t>
  </si>
  <si>
    <t>DATOS DEL PROYECTO (referencias a otras hojas)</t>
  </si>
  <si>
    <t>Ingresos Totales</t>
  </si>
  <si>
    <t>Costo Terreno</t>
  </si>
  <si>
    <t>Costo Construcción sin IVA</t>
  </si>
  <si>
    <t>Costos Proyectos, Permisos y Empalmes</t>
  </si>
  <si>
    <t>Costos Adm., Gestión y Ventas</t>
  </si>
  <si>
    <t>Costo Financiero</t>
  </si>
  <si>
    <t>IVA a Pagar</t>
  </si>
  <si>
    <t>Costo Total Proyecto Puro (sin IVA a pagar)</t>
  </si>
  <si>
    <t>Costo Total Proyecto Financiado (con IVA a pagar)</t>
  </si>
  <si>
    <t>SUPUESTOS DE DISTRIBUCIÓN TEMPORAL</t>
  </si>
  <si>
    <t>• Terreno: 100 % en el mes 0</t>
  </si>
  <si>
    <t>• Construcción sin IVA: distribuido uniformemente en los meses 1 a C7</t>
  </si>
  <si>
    <t>• Proyectos, Permisos y Empalmes: distribuido uniformemente en los meses C11 a C12 (ajustable)</t>
  </si>
  <si>
    <t>• Adm., Gestión y Ventas: distribuido uniformemente desde el mes C8 hasta el mes C9</t>
  </si>
  <si>
    <t>• Costo Financiero e IVA a Pagar: íntegramente en el mes de entrega (C9)</t>
  </si>
  <si>
    <t>• Ingresos Pre-venta (C10 = 30 %): distribuidos uniformemente desde el mes C8 hasta el mes C9-1</t>
  </si>
  <si>
    <t>• Ingresos de Entrega (1-C10 = 70 %): íntegramente en el mes de entrega (C9)</t>
  </si>
  <si>
    <t>TABLA DE FLUJOS DE CAJA (montos en UF)</t>
  </si>
  <si>
    <t>Mes</t>
  </si>
  <si>
    <t>Ing. Pre-venta</t>
  </si>
  <si>
    <t>Ing. Entrega</t>
  </si>
  <si>
    <t>Total Ingresos</t>
  </si>
  <si>
    <t>Construcción</t>
  </si>
  <si>
    <t>Proy. y Permisos</t>
  </si>
  <si>
    <t>Adm. y Ventas</t>
  </si>
  <si>
    <t>Total Egresos Puro</t>
  </si>
  <si>
    <t>Flujo Neto Puro</t>
  </si>
  <si>
    <t>Total Egresos Financiado</t>
  </si>
  <si>
    <t>Flujo Neto Financiado</t>
  </si>
  <si>
    <t>VAN Proyecto Puro (UF)</t>
  </si>
  <si>
    <t>VAN Proyecto Financiado (UF)</t>
  </si>
  <si>
    <t>TIR mensual Proyecto Puro</t>
  </si>
  <si>
    <t>TIR mensual Proyecto Financiado</t>
  </si>
  <si>
    <t>TIR anual Proyecto Puro</t>
  </si>
  <si>
    <t>TIR anual Proyecto Financiado</t>
  </si>
  <si>
    <t>Nota: Los valores de TIR anual calculados arriba actualizan automáticamente las celdas D18 y D19 de la hoja "Resultados".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</si>
</sst>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"/>
    <numFmt numFmtId="168" formatCode="#,##0_ ;[Red]\-#,##0\ "/>
  </numFmts>
  <fonts count="24" x14ac:knownFonts="1">
    <font>
      <sz val="11"/>
      <color theme="1"/>
      <name val="Calibri"/>
      <family val="2"/>
      <charset val="1"/>
    </font>
    <font>
      <b/>
      <sz val="14"/>
      <color rgb="FF2E75B6"/>
      <name val="Arial"/>
      <family val="2"/>
    </font>
    <font>
      <b/>
      <sz val="12"/>
      <color rgb="FF2E75B6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FF"/>
      <name val="Arial"/>
      <family val="2"/>
    </font>
    <font>
      <sz val="8"/>
      <color rgb="FF888888"/>
      <name val="Arial"/>
      <family val="2"/>
    </font>
    <font>
      <sz val="9"/>
      <color rgb="FFFF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charset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2E75B6"/>
      <name val="Arial"/>
      <family val="2"/>
    </font>
    <font>
      <sz val="9"/>
      <color rgb="FF888888"/>
      <name val="Arial"/>
      <family val="2"/>
    </font>
    <font>
      <b/>
      <sz val="9"/>
      <color rgb="FF0000FF"/>
      <name val="Arial"/>
      <family val="2"/>
    </font>
    <font>
      <b/>
      <sz val="14"/>
      <color rgb="FF2E75B6"/>
      <name val="Arial"/>
      <family val="2"/>
    </font>
    <font>
      <b/>
      <sz val="12"/>
      <color rgb="FF2E75B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i/>
      <sz val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FFD9E6"/>
      </patternFill>
    </fill>
    <fill>
      <patternFill patternType="solid">
        <fgColor rgb="FFC6EFCE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D9E6"/>
        <bgColor rgb="FFFFFF00"/>
      </patternFill>
    </fill>
    <fill>
      <patternFill patternType="solid">
        <fgColor rgb="FFFFD9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rgb="FFCC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8" tint="0.59999389629810485"/>
        <bgColor rgb="FFFFFF0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D9E6"/>
      </patternFill>
    </fill>
    <fill>
      <patternFill patternType="solid">
        <fgColor rgb="FF2E75B6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1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3" fontId="4" fillId="4" borderId="0" xfId="0" applyNumberFormat="1" applyFont="1" applyFill="1"/>
    <xf numFmtId="3" fontId="4" fillId="3" borderId="0" xfId="0" applyNumberFormat="1" applyFont="1" applyFill="1"/>
    <xf numFmtId="0" fontId="5" fillId="0" borderId="0" xfId="0" applyFont="1"/>
    <xf numFmtId="3" fontId="5" fillId="4" borderId="0" xfId="0" applyNumberFormat="1" applyFont="1" applyFill="1"/>
    <xf numFmtId="0" fontId="4" fillId="3" borderId="0" xfId="0" applyFont="1" applyFill="1"/>
    <xf numFmtId="0" fontId="4" fillId="4" borderId="0" xfId="0" applyFont="1" applyFill="1"/>
    <xf numFmtId="0" fontId="7" fillId="0" borderId="0" xfId="0" applyFont="1"/>
    <xf numFmtId="164" fontId="5" fillId="4" borderId="0" xfId="0" applyNumberFormat="1" applyFont="1" applyFill="1"/>
    <xf numFmtId="3" fontId="4" fillId="0" borderId="0" xfId="0" applyNumberFormat="1" applyFont="1"/>
    <xf numFmtId="0" fontId="9" fillId="0" borderId="0" xfId="0" applyFont="1"/>
    <xf numFmtId="0" fontId="5" fillId="0" borderId="0" xfId="0" applyFont="1" applyAlignment="1">
      <alignment horizontal="right"/>
    </xf>
    <xf numFmtId="3" fontId="5" fillId="4" borderId="0" xfId="0" applyNumberFormat="1" applyFont="1" applyFill="1" applyAlignment="1">
      <alignment horizontal="right"/>
    </xf>
    <xf numFmtId="165" fontId="5" fillId="4" borderId="0" xfId="0" applyNumberFormat="1" applyFont="1" applyFill="1" applyAlignment="1">
      <alignment horizontal="right"/>
    </xf>
    <xf numFmtId="3" fontId="5" fillId="6" borderId="0" xfId="0" applyNumberFormat="1" applyFont="1" applyFill="1" applyAlignment="1">
      <alignment horizontal="right"/>
    </xf>
    <xf numFmtId="0" fontId="10" fillId="6" borderId="0" xfId="0" applyFont="1" applyFill="1"/>
    <xf numFmtId="164" fontId="4" fillId="3" borderId="0" xfId="0" applyNumberFormat="1" applyFont="1" applyFill="1"/>
    <xf numFmtId="164" fontId="4" fillId="4" borderId="0" xfId="0" applyNumberFormat="1" applyFont="1" applyFill="1"/>
    <xf numFmtId="164" fontId="5" fillId="0" borderId="0" xfId="0" applyNumberFormat="1" applyFont="1"/>
    <xf numFmtId="0" fontId="4" fillId="0" borderId="1" xfId="0" applyFont="1" applyBorder="1"/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3" fontId="4" fillId="4" borderId="1" xfId="0" applyNumberFormat="1" applyFont="1" applyFill="1" applyBorder="1"/>
    <xf numFmtId="0" fontId="5" fillId="0" borderId="2" xfId="0" applyFont="1" applyBorder="1"/>
    <xf numFmtId="3" fontId="5" fillId="4" borderId="2" xfId="0" applyNumberFormat="1" applyFont="1" applyFill="1" applyBorder="1"/>
    <xf numFmtId="164" fontId="5" fillId="4" borderId="2" xfId="0" applyNumberFormat="1" applyFont="1" applyFill="1" applyBorder="1"/>
    <xf numFmtId="164" fontId="5" fillId="0" borderId="2" xfId="0" applyNumberFormat="1" applyFont="1" applyBorder="1"/>
    <xf numFmtId="0" fontId="12" fillId="0" borderId="0" xfId="0" applyFont="1" applyAlignment="1">
      <alignment horizontal="center" vertical="center" wrapText="1"/>
    </xf>
    <xf numFmtId="3" fontId="5" fillId="0" borderId="0" xfId="0" applyNumberFormat="1" applyFont="1"/>
    <xf numFmtId="0" fontId="13" fillId="0" borderId="0" xfId="0" applyFont="1"/>
    <xf numFmtId="3" fontId="13" fillId="0" borderId="0" xfId="0" applyNumberFormat="1" applyFont="1"/>
    <xf numFmtId="164" fontId="13" fillId="0" borderId="0" xfId="0" applyNumberFormat="1" applyFont="1"/>
    <xf numFmtId="0" fontId="13" fillId="0" borderId="2" xfId="0" applyFont="1" applyBorder="1"/>
    <xf numFmtId="0" fontId="13" fillId="8" borderId="0" xfId="0" applyFont="1" applyFill="1"/>
    <xf numFmtId="0" fontId="13" fillId="0" borderId="1" xfId="0" applyFont="1" applyBorder="1"/>
    <xf numFmtId="9" fontId="12" fillId="0" borderId="1" xfId="0" applyNumberFormat="1" applyFont="1" applyBorder="1" applyAlignment="1">
      <alignment horizontal="center"/>
    </xf>
    <xf numFmtId="9" fontId="12" fillId="0" borderId="0" xfId="0" applyNumberFormat="1" applyFont="1" applyAlignment="1">
      <alignment horizontal="center"/>
    </xf>
    <xf numFmtId="164" fontId="4" fillId="0" borderId="0" xfId="0" applyNumberFormat="1" applyFont="1"/>
    <xf numFmtId="164" fontId="4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3" fontId="4" fillId="0" borderId="1" xfId="0" applyNumberFormat="1" applyFont="1" applyBorder="1"/>
    <xf numFmtId="3" fontId="5" fillId="0" borderId="2" xfId="0" applyNumberFormat="1" applyFont="1" applyBorder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/>
    <xf numFmtId="164" fontId="12" fillId="11" borderId="0" xfId="0" applyNumberFormat="1" applyFont="1" applyFill="1"/>
    <xf numFmtId="0" fontId="12" fillId="8" borderId="1" xfId="0" applyFont="1" applyFill="1" applyBorder="1"/>
    <xf numFmtId="166" fontId="12" fillId="8" borderId="0" xfId="0" applyNumberFormat="1" applyFont="1" applyFill="1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3" fontId="5" fillId="6" borderId="0" xfId="0" applyNumberFormat="1" applyFont="1" applyFill="1" applyAlignment="1">
      <alignment vertical="center"/>
    </xf>
    <xf numFmtId="164" fontId="5" fillId="6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3" fontId="5" fillId="5" borderId="0" xfId="0" applyNumberFormat="1" applyFont="1" applyFill="1" applyAlignment="1">
      <alignment vertical="center"/>
    </xf>
    <xf numFmtId="166" fontId="5" fillId="5" borderId="0" xfId="0" applyNumberFormat="1" applyFont="1" applyFill="1" applyAlignment="1">
      <alignment vertical="center"/>
    </xf>
    <xf numFmtId="165" fontId="5" fillId="5" borderId="0" xfId="0" applyNumberFormat="1" applyFont="1" applyFill="1" applyAlignment="1">
      <alignment vertical="center"/>
    </xf>
    <xf numFmtId="164" fontId="5" fillId="5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3" fontId="4" fillId="3" borderId="0" xfId="0" applyNumberFormat="1" applyFont="1" applyFill="1" applyAlignment="1">
      <alignment vertical="center"/>
    </xf>
    <xf numFmtId="166" fontId="6" fillId="3" borderId="0" xfId="0" applyNumberFormat="1" applyFont="1" applyFill="1" applyAlignment="1">
      <alignment vertical="center"/>
    </xf>
    <xf numFmtId="3" fontId="4" fillId="4" borderId="0" xfId="0" applyNumberFormat="1" applyFont="1" applyFill="1" applyAlignment="1">
      <alignment vertical="center"/>
    </xf>
    <xf numFmtId="165" fontId="4" fillId="4" borderId="0" xfId="0" applyNumberFormat="1" applyFont="1" applyFill="1" applyAlignment="1">
      <alignment vertical="center"/>
    </xf>
    <xf numFmtId="164" fontId="4" fillId="4" borderId="0" xfId="0" applyNumberFormat="1" applyFont="1" applyFill="1" applyAlignment="1">
      <alignment vertical="center"/>
    </xf>
    <xf numFmtId="10" fontId="13" fillId="8" borderId="0" xfId="0" applyNumberFormat="1" applyFont="1" applyFill="1" applyAlignment="1">
      <alignment vertical="center"/>
    </xf>
    <xf numFmtId="3" fontId="13" fillId="0" borderId="0" xfId="0" applyNumberFormat="1" applyFont="1" applyAlignment="1">
      <alignment vertical="center"/>
    </xf>
    <xf numFmtId="3" fontId="4" fillId="7" borderId="0" xfId="0" applyNumberFormat="1" applyFont="1" applyFill="1" applyAlignment="1">
      <alignment vertical="center"/>
    </xf>
    <xf numFmtId="0" fontId="5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3" fontId="5" fillId="5" borderId="2" xfId="0" applyNumberFormat="1" applyFont="1" applyFill="1" applyBorder="1" applyAlignment="1">
      <alignment vertical="center"/>
    </xf>
    <xf numFmtId="166" fontId="5" fillId="5" borderId="2" xfId="0" applyNumberFormat="1" applyFont="1" applyFill="1" applyBorder="1" applyAlignment="1">
      <alignment vertical="center"/>
    </xf>
    <xf numFmtId="165" fontId="5" fillId="5" borderId="2" xfId="0" applyNumberFormat="1" applyFont="1" applyFill="1" applyBorder="1" applyAlignment="1">
      <alignment vertical="center"/>
    </xf>
    <xf numFmtId="165" fontId="5" fillId="5" borderId="2" xfId="1" applyNumberFormat="1" applyFont="1" applyFill="1" applyBorder="1" applyAlignment="1">
      <alignment vertical="center"/>
    </xf>
    <xf numFmtId="164" fontId="5" fillId="5" borderId="2" xfId="0" applyNumberFormat="1" applyFont="1" applyFill="1" applyBorder="1" applyAlignment="1">
      <alignment vertical="center"/>
    </xf>
    <xf numFmtId="165" fontId="13" fillId="8" borderId="0" xfId="0" applyNumberFormat="1" applyFont="1" applyFill="1" applyAlignment="1">
      <alignment vertical="center"/>
    </xf>
    <xf numFmtId="0" fontId="5" fillId="12" borderId="0" xfId="0" applyFont="1" applyFill="1" applyAlignment="1">
      <alignment vertical="center"/>
    </xf>
    <xf numFmtId="3" fontId="5" fillId="12" borderId="0" xfId="0" applyNumberFormat="1" applyFont="1" applyFill="1" applyAlignment="1">
      <alignment vertical="center"/>
    </xf>
    <xf numFmtId="166" fontId="6" fillId="13" borderId="0" xfId="0" applyNumberFormat="1" applyFont="1" applyFill="1" applyAlignment="1">
      <alignment vertical="center"/>
    </xf>
    <xf numFmtId="3" fontId="5" fillId="14" borderId="0" xfId="0" applyNumberFormat="1" applyFont="1" applyFill="1" applyAlignment="1">
      <alignment vertical="center"/>
    </xf>
    <xf numFmtId="165" fontId="5" fillId="14" borderId="0" xfId="0" applyNumberFormat="1" applyFont="1" applyFill="1" applyAlignment="1">
      <alignment vertical="center"/>
    </xf>
    <xf numFmtId="164" fontId="5" fillId="14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3" fontId="5" fillId="15" borderId="2" xfId="0" applyNumberFormat="1" applyFont="1" applyFill="1" applyBorder="1" applyAlignment="1">
      <alignment vertical="center"/>
    </xf>
    <xf numFmtId="166" fontId="5" fillId="0" borderId="2" xfId="0" applyNumberFormat="1" applyFont="1" applyBorder="1" applyAlignment="1">
      <alignment vertical="center"/>
    </xf>
    <xf numFmtId="165" fontId="5" fillId="15" borderId="2" xfId="1" applyNumberFormat="1" applyFont="1" applyFill="1" applyBorder="1" applyAlignment="1">
      <alignment vertical="center"/>
    </xf>
    <xf numFmtId="166" fontId="5" fillId="15" borderId="2" xfId="1" applyNumberFormat="1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3" fontId="4" fillId="9" borderId="0" xfId="0" applyNumberFormat="1" applyFont="1" applyFill="1" applyAlignment="1">
      <alignment vertical="center"/>
    </xf>
    <xf numFmtId="3" fontId="4" fillId="10" borderId="0" xfId="0" applyNumberFormat="1" applyFont="1" applyFill="1" applyAlignment="1">
      <alignment vertical="center"/>
    </xf>
    <xf numFmtId="166" fontId="6" fillId="8" borderId="0" xfId="0" applyNumberFormat="1" applyFont="1" applyFill="1" applyAlignment="1">
      <alignment vertical="center"/>
    </xf>
    <xf numFmtId="0" fontId="5" fillId="0" borderId="1" xfId="0" applyFont="1" applyBorder="1" applyAlignment="1">
      <alignment horizontal="left" vertical="center"/>
    </xf>
    <xf numFmtId="3" fontId="5" fillId="15" borderId="1" xfId="0" applyNumberFormat="1" applyFont="1" applyFill="1" applyBorder="1" applyAlignment="1">
      <alignment vertical="center"/>
    </xf>
    <xf numFmtId="166" fontId="16" fillId="0" borderId="1" xfId="0" applyNumberFormat="1" applyFont="1" applyBorder="1" applyAlignment="1">
      <alignment vertical="center"/>
    </xf>
    <xf numFmtId="3" fontId="4" fillId="8" borderId="0" xfId="0" applyNumberFormat="1" applyFont="1" applyFill="1" applyAlignment="1">
      <alignment vertical="center"/>
    </xf>
    <xf numFmtId="166" fontId="16" fillId="3" borderId="1" xfId="0" applyNumberFormat="1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3" fontId="4" fillId="16" borderId="0" xfId="0" applyNumberFormat="1" applyFont="1" applyFill="1" applyAlignment="1">
      <alignment vertical="center"/>
    </xf>
    <xf numFmtId="3" fontId="4" fillId="17" borderId="0" xfId="0" applyNumberFormat="1" applyFont="1" applyFill="1" applyAlignment="1">
      <alignment vertical="center"/>
    </xf>
    <xf numFmtId="3" fontId="4" fillId="15" borderId="0" xfId="0" applyNumberFormat="1" applyFont="1" applyFill="1" applyAlignment="1">
      <alignment vertical="center"/>
    </xf>
    <xf numFmtId="3" fontId="4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4" fontId="13" fillId="5" borderId="0" xfId="0" applyNumberFormat="1" applyFont="1" applyFill="1" applyAlignment="1">
      <alignment vertical="center"/>
    </xf>
    <xf numFmtId="3" fontId="4" fillId="18" borderId="0" xfId="0" applyNumberFormat="1" applyFont="1" applyFill="1" applyAlignment="1">
      <alignment vertical="center"/>
    </xf>
    <xf numFmtId="4" fontId="6" fillId="3" borderId="0" xfId="0" applyNumberFormat="1" applyFont="1" applyFill="1" applyAlignment="1">
      <alignment vertical="center"/>
    </xf>
    <xf numFmtId="4" fontId="6" fillId="0" borderId="0" xfId="0" applyNumberFormat="1" applyFont="1" applyAlignment="1">
      <alignment vertical="center"/>
    </xf>
    <xf numFmtId="165" fontId="12" fillId="5" borderId="0" xfId="0" applyNumberFormat="1" applyFont="1" applyFill="1" applyAlignment="1">
      <alignment vertical="center"/>
    </xf>
    <xf numFmtId="10" fontId="8" fillId="3" borderId="0" xfId="0" applyNumberFormat="1" applyFont="1" applyFill="1" applyAlignment="1">
      <alignment vertical="center"/>
    </xf>
    <xf numFmtId="165" fontId="13" fillId="4" borderId="0" xfId="0" applyNumberFormat="1" applyFont="1" applyFill="1" applyAlignment="1">
      <alignment vertical="center"/>
    </xf>
    <xf numFmtId="164" fontId="13" fillId="0" borderId="0" xfId="0" applyNumberFormat="1" applyFont="1" applyAlignment="1">
      <alignment vertical="center"/>
    </xf>
    <xf numFmtId="10" fontId="13" fillId="8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3" fontId="5" fillId="7" borderId="0" xfId="0" applyNumberFormat="1" applyFont="1" applyFill="1" applyAlignment="1">
      <alignment vertical="center"/>
    </xf>
    <xf numFmtId="9" fontId="0" fillId="8" borderId="0" xfId="0" applyNumberFormat="1" applyFill="1"/>
    <xf numFmtId="3" fontId="5" fillId="7" borderId="0" xfId="0" applyNumberFormat="1" applyFont="1" applyFill="1" applyAlignment="1">
      <alignment horizontal="right"/>
    </xf>
    <xf numFmtId="0" fontId="20" fillId="0" borderId="0" xfId="0" applyFont="1"/>
    <xf numFmtId="165" fontId="19" fillId="21" borderId="0" xfId="0" applyNumberFormat="1" applyFont="1" applyFill="1" applyAlignment="1">
      <alignment horizontal="right"/>
    </xf>
    <xf numFmtId="0" fontId="17" fillId="0" borderId="0" xfId="0" applyFont="1"/>
    <xf numFmtId="0" fontId="18" fillId="0" borderId="0" xfId="0" applyFont="1"/>
    <xf numFmtId="10" fontId="20" fillId="20" borderId="0" xfId="0" applyNumberFormat="1" applyFont="1" applyFill="1" applyAlignment="1">
      <alignment horizontal="right"/>
    </xf>
    <xf numFmtId="165" fontId="20" fillId="21" borderId="0" xfId="0" applyNumberFormat="1" applyFont="1" applyFill="1" applyAlignment="1">
      <alignment horizontal="right"/>
    </xf>
    <xf numFmtId="1" fontId="20" fillId="20" borderId="0" xfId="0" applyNumberFormat="1" applyFont="1" applyFill="1" applyAlignment="1">
      <alignment horizontal="right"/>
    </xf>
    <xf numFmtId="3" fontId="19" fillId="22" borderId="0" xfId="0" applyNumberFormat="1" applyFont="1" applyFill="1" applyAlignment="1">
      <alignment horizontal="right"/>
    </xf>
    <xf numFmtId="0" fontId="21" fillId="0" borderId="0" xfId="0" applyFont="1"/>
    <xf numFmtId="0" fontId="22" fillId="23" borderId="5" xfId="0" applyFont="1" applyFill="1" applyBorder="1" applyAlignment="1">
      <alignment horizontal="center" vertical="center" wrapText="1"/>
    </xf>
    <xf numFmtId="1" fontId="20" fillId="0" borderId="0" xfId="0" applyNumberFormat="1" applyFont="1" applyAlignment="1">
      <alignment horizontal="center"/>
    </xf>
    <xf numFmtId="1" fontId="20" fillId="0" borderId="7" xfId="0" applyNumberFormat="1" applyFont="1" applyBorder="1" applyAlignment="1">
      <alignment horizontal="center"/>
    </xf>
    <xf numFmtId="0" fontId="19" fillId="0" borderId="0" xfId="0" applyFont="1"/>
    <xf numFmtId="3" fontId="19" fillId="21" borderId="5" xfId="0" applyNumberFormat="1" applyFont="1" applyFill="1" applyBorder="1" applyAlignment="1">
      <alignment horizontal="right"/>
    </xf>
    <xf numFmtId="10" fontId="20" fillId="21" borderId="5" xfId="0" applyNumberFormat="1" applyFont="1" applyFill="1" applyBorder="1" applyAlignment="1">
      <alignment horizontal="right"/>
    </xf>
    <xf numFmtId="165" fontId="19" fillId="21" borderId="5" xfId="0" applyNumberFormat="1" applyFont="1" applyFill="1" applyBorder="1" applyAlignment="1">
      <alignment horizontal="right"/>
    </xf>
    <xf numFmtId="0" fontId="23" fillId="0" borderId="0" xfId="0" applyFont="1"/>
    <xf numFmtId="0" fontId="20" fillId="20" borderId="0" xfId="0" applyFont="1" applyFill="1"/>
    <xf numFmtId="0" fontId="20" fillId="21" borderId="0" xfId="0" applyFont="1" applyFill="1"/>
    <xf numFmtId="0" fontId="20" fillId="22" borderId="0" xfId="0" applyFont="1" applyFill="1"/>
    <xf numFmtId="0" fontId="12" fillId="0" borderId="1" xfId="0" applyFont="1" applyBorder="1" applyAlignment="1">
      <alignment horizontal="center"/>
    </xf>
    <xf numFmtId="0" fontId="0" fillId="0" borderId="1" xfId="0" applyBorder="1"/>
    <xf numFmtId="0" fontId="19" fillId="19" borderId="0" xfId="0" applyFont="1" applyFill="1" applyAlignment="1">
      <alignment vertical="center"/>
    </xf>
    <xf numFmtId="0" fontId="0" fillId="0" borderId="0" xfId="0"/>
    <xf numFmtId="0" fontId="0" fillId="0" borderId="0" xfId="0" applyAlignment="1"/>
    <xf numFmtId="0" fontId="19" fillId="19" borderId="0" xfId="0" applyFont="1" applyFill="1" applyAlignment="1">
      <alignment horizontal="left" vertical="center"/>
    </xf>
    <xf numFmtId="0" fontId="20" fillId="0" borderId="0" xfId="0" applyFont="1" applyAlignment="1">
      <alignment horizontal="right"/>
    </xf>
    <xf numFmtId="0" fontId="12" fillId="0" borderId="5" xfId="0" applyFont="1" applyFill="1" applyBorder="1" applyAlignment="1">
      <alignment horizontal="center" vertical="center" wrapText="1"/>
    </xf>
    <xf numFmtId="1" fontId="20" fillId="0" borderId="8" xfId="0" applyNumberFormat="1" applyFont="1" applyBorder="1" applyAlignment="1">
      <alignment horizontal="center"/>
    </xf>
    <xf numFmtId="0" fontId="22" fillId="24" borderId="5" xfId="0" applyFont="1" applyFill="1" applyBorder="1" applyAlignment="1">
      <alignment horizontal="center" vertical="center" wrapText="1"/>
    </xf>
    <xf numFmtId="168" fontId="20" fillId="21" borderId="6" xfId="0" applyNumberFormat="1" applyFont="1" applyFill="1" applyBorder="1" applyAlignment="1">
      <alignment horizontal="right"/>
    </xf>
    <xf numFmtId="168" fontId="19" fillId="21" borderId="6" xfId="0" applyNumberFormat="1" applyFont="1" applyFill="1" applyBorder="1" applyAlignment="1">
      <alignment horizontal="right"/>
    </xf>
    <xf numFmtId="168" fontId="20" fillId="21" borderId="7" xfId="0" applyNumberFormat="1" applyFont="1" applyFill="1" applyBorder="1" applyAlignment="1">
      <alignment horizontal="right"/>
    </xf>
    <xf numFmtId="168" fontId="19" fillId="21" borderId="7" xfId="0" applyNumberFormat="1" applyFont="1" applyFill="1" applyBorder="1" applyAlignment="1">
      <alignment horizontal="right"/>
    </xf>
    <xf numFmtId="168" fontId="20" fillId="21" borderId="8" xfId="0" applyNumberFormat="1" applyFont="1" applyFill="1" applyBorder="1" applyAlignment="1">
      <alignment horizontal="right"/>
    </xf>
    <xf numFmtId="168" fontId="19" fillId="21" borderId="8" xfId="0" applyNumberFormat="1" applyFont="1" applyFill="1" applyBorder="1" applyAlignment="1">
      <alignment horizontal="right"/>
    </xf>
    <xf numFmtId="0" fontId="20" fillId="0" borderId="5" xfId="0" applyFont="1" applyBorder="1"/>
    <xf numFmtId="0" fontId="0" fillId="0" borderId="5" xfId="0" applyBorder="1"/>
    <xf numFmtId="9" fontId="20" fillId="20" borderId="5" xfId="0" applyNumberFormat="1" applyFont="1" applyFill="1" applyBorder="1" applyAlignment="1">
      <alignment horizontal="right"/>
    </xf>
    <xf numFmtId="1" fontId="20" fillId="20" borderId="5" xfId="0" applyNumberFormat="1" applyFont="1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zoomScaleNormal="100" workbookViewId="0">
      <selection activeCell="G34" sqref="G34"/>
    </sheetView>
  </sheetViews>
  <sheetFormatPr baseColWidth="10" defaultColWidth="8.6640625" defaultRowHeight="15" x14ac:dyDescent="0.2"/>
  <cols>
    <col min="1" max="1" width="41" bestFit="1" customWidth="1"/>
    <col min="2" max="2" width="7.83203125" customWidth="1"/>
    <col min="3" max="3" width="2.83203125" customWidth="1"/>
    <col min="4" max="9" width="7.83203125" customWidth="1"/>
    <col min="10" max="10" width="2.83203125" customWidth="1"/>
    <col min="11" max="12" width="7.83203125" customWidth="1"/>
    <col min="13" max="13" width="2.83203125" customWidth="1"/>
    <col min="14" max="15" width="7.83203125" customWidth="1"/>
    <col min="16" max="16" width="2.83203125" customWidth="1"/>
    <col min="17" max="18" width="7.83203125" customWidth="1"/>
  </cols>
  <sheetData>
    <row r="1" spans="1:20" ht="17.25" customHeight="1" x14ac:dyDescent="0.2">
      <c r="A1" s="1" t="s">
        <v>0</v>
      </c>
    </row>
    <row r="2" spans="1:20" ht="15" customHeight="1" x14ac:dyDescent="0.2">
      <c r="A2" s="2" t="s">
        <v>1</v>
      </c>
    </row>
    <row r="3" spans="1:20" s="34" customFormat="1" ht="12" customHeight="1" x14ac:dyDescent="0.2">
      <c r="D3" s="39"/>
      <c r="E3" s="40">
        <v>0.5</v>
      </c>
      <c r="F3" s="40">
        <v>0.5</v>
      </c>
      <c r="G3" s="40">
        <v>0.4</v>
      </c>
      <c r="H3" s="40">
        <v>0.6</v>
      </c>
      <c r="I3" s="40">
        <v>0.5</v>
      </c>
      <c r="J3" s="41"/>
      <c r="N3" s="152" t="s">
        <v>2</v>
      </c>
      <c r="O3" s="153"/>
      <c r="P3" s="47"/>
      <c r="Q3" s="152" t="s">
        <v>3</v>
      </c>
      <c r="R3" s="153"/>
    </row>
    <row r="4" spans="1:20" s="34" customFormat="1" ht="32.25" customHeight="1" x14ac:dyDescent="0.15">
      <c r="A4" s="3" t="s">
        <v>4</v>
      </c>
      <c r="B4" s="3" t="s">
        <v>5</v>
      </c>
      <c r="C4" s="44"/>
      <c r="D4" s="48" t="s">
        <v>6</v>
      </c>
      <c r="E4" s="49" t="s">
        <v>7</v>
      </c>
      <c r="F4" s="49" t="s">
        <v>8</v>
      </c>
      <c r="G4" s="49" t="s">
        <v>9</v>
      </c>
      <c r="H4" s="49" t="s">
        <v>10</v>
      </c>
      <c r="I4" s="50" t="s">
        <v>11</v>
      </c>
      <c r="J4" s="32"/>
      <c r="K4" s="3" t="s">
        <v>12</v>
      </c>
      <c r="L4" s="3" t="s">
        <v>13</v>
      </c>
      <c r="M4" s="44"/>
      <c r="N4" s="48" t="s">
        <v>14</v>
      </c>
      <c r="O4" s="50" t="s">
        <v>15</v>
      </c>
      <c r="P4" s="32"/>
      <c r="Q4" s="3" t="s">
        <v>14</v>
      </c>
      <c r="R4" s="3" t="s">
        <v>15</v>
      </c>
    </row>
    <row r="5" spans="1:20" s="34" customFormat="1" ht="15" customHeight="1" x14ac:dyDescent="0.15">
      <c r="A5" s="4" t="s">
        <v>16</v>
      </c>
      <c r="B5" s="6">
        <v>0</v>
      </c>
      <c r="C5" s="13"/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42"/>
      <c r="K5" s="21">
        <f>SUM(D5:I5)</f>
        <v>0</v>
      </c>
      <c r="L5" s="21">
        <f>D5+(E5*$E$3)+(F5*$F$3)+(G5*$G$3)+(H5*$H$3)+(I5*$I$3)</f>
        <v>0</v>
      </c>
      <c r="M5" s="42"/>
      <c r="N5" s="20">
        <v>75</v>
      </c>
      <c r="O5" s="5">
        <f>IF(B5=0,0,N5*L5)</f>
        <v>0</v>
      </c>
      <c r="P5" s="13"/>
      <c r="Q5" s="21">
        <f>IF(D5=0,0,R5/L5)</f>
        <v>0</v>
      </c>
      <c r="R5" s="5">
        <f>IF(B5=0,0,O5+$B$31+$B$32)</f>
        <v>0</v>
      </c>
    </row>
    <row r="6" spans="1:20" s="34" customFormat="1" ht="15" customHeight="1" x14ac:dyDescent="0.15">
      <c r="A6" s="4" t="s">
        <v>17</v>
      </c>
      <c r="B6" s="6">
        <v>0</v>
      </c>
      <c r="C6" s="13"/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42"/>
      <c r="K6" s="21">
        <f>SUM(D6:I6)</f>
        <v>0</v>
      </c>
      <c r="L6" s="21">
        <f>D6+(E6*$E$3)+(F6*$F$3)+(G6*$G$3)+(H6*$H$3)+(I6*$I$3)</f>
        <v>0</v>
      </c>
      <c r="M6" s="42"/>
      <c r="N6" s="20">
        <v>75</v>
      </c>
      <c r="O6" s="5">
        <f>IF(B6=0,0,N6*L6)</f>
        <v>0</v>
      </c>
      <c r="P6" s="13"/>
      <c r="Q6" s="21">
        <f>IF(D6=0,0,R6/L6)</f>
        <v>0</v>
      </c>
      <c r="R6" s="5">
        <f>IF(B6=0,0,O6+$B$31+$B$32)</f>
        <v>0</v>
      </c>
    </row>
    <row r="7" spans="1:20" s="34" customFormat="1" ht="15" customHeight="1" x14ac:dyDescent="0.15">
      <c r="A7" s="23" t="s">
        <v>18</v>
      </c>
      <c r="B7" s="24">
        <v>1</v>
      </c>
      <c r="C7" s="45"/>
      <c r="D7" s="25">
        <v>38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43"/>
      <c r="K7" s="26">
        <f>SUM(D7:I7)</f>
        <v>38</v>
      </c>
      <c r="L7" s="26">
        <f>D7+(E7*$E$3)+(F7*$F$3)+(G7*$G$3)+(H7*$H$3)+(I7*$I$3)</f>
        <v>38</v>
      </c>
      <c r="M7" s="43"/>
      <c r="N7" s="25">
        <v>75</v>
      </c>
      <c r="O7" s="27">
        <f>IF(B7=0,0,N7*L7)</f>
        <v>2850</v>
      </c>
      <c r="P7" s="45"/>
      <c r="Q7" s="26">
        <f>IF(D7=0,0,R7/L7)</f>
        <v>85.78947368421052</v>
      </c>
      <c r="R7" s="27">
        <f>O7+$B$31+$B$32</f>
        <v>3260</v>
      </c>
    </row>
    <row r="8" spans="1:20" s="34" customFormat="1" ht="15" customHeight="1" x14ac:dyDescent="0.15">
      <c r="A8" s="7" t="s">
        <v>19</v>
      </c>
      <c r="B8" s="8">
        <f>SUM(B5:B7)</f>
        <v>1</v>
      </c>
      <c r="C8" s="33"/>
      <c r="D8" s="12">
        <f t="shared" ref="D8:I8" si="0">SUM(D5:D7)</f>
        <v>38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22"/>
      <c r="K8" s="12">
        <f>SUMPRODUCT(K5:K7,B5:B7)</f>
        <v>38</v>
      </c>
      <c r="L8" s="12">
        <f>SUM(L5:L7)</f>
        <v>38</v>
      </c>
      <c r="M8" s="22"/>
      <c r="N8" s="12">
        <f>SUMPRODUCT(N5:N7,B5:B7)/B8</f>
        <v>75</v>
      </c>
      <c r="O8" s="8">
        <f>SUMPRODUCT(O5:O7,B5:B7)</f>
        <v>2850</v>
      </c>
      <c r="P8" s="33"/>
      <c r="Q8" s="12">
        <f>SUMPRODUCT(Q5:Q7,B5:B7)/B8</f>
        <v>85.78947368421052</v>
      </c>
      <c r="R8" s="8">
        <f>SUMPRODUCT(R5:R7,B5:B7)</f>
        <v>3260</v>
      </c>
    </row>
    <row r="9" spans="1:20" s="34" customFormat="1" ht="15" customHeight="1" x14ac:dyDescent="0.15">
      <c r="A9" s="7"/>
      <c r="B9" s="33"/>
      <c r="C9" s="33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33"/>
      <c r="P9" s="33"/>
      <c r="Q9" s="22"/>
      <c r="R9" s="33"/>
    </row>
    <row r="10" spans="1:20" s="34" customFormat="1" ht="15" customHeight="1" x14ac:dyDescent="0.15">
      <c r="A10" s="4" t="s">
        <v>20</v>
      </c>
      <c r="B10" s="6">
        <v>2</v>
      </c>
      <c r="C10" s="13"/>
      <c r="D10" s="20">
        <v>68.2</v>
      </c>
      <c r="E10" s="20">
        <v>3.3</v>
      </c>
      <c r="F10" s="20">
        <v>0</v>
      </c>
      <c r="G10" s="20">
        <v>0</v>
      </c>
      <c r="H10" s="20">
        <v>0</v>
      </c>
      <c r="I10" s="20">
        <v>0</v>
      </c>
      <c r="J10" s="42"/>
      <c r="K10" s="21">
        <f t="shared" ref="K10:K19" si="1">SUM(D10:I10)</f>
        <v>71.5</v>
      </c>
      <c r="L10" s="21">
        <f t="shared" ref="L10:L19" si="2">D10+(E10*$E$3)+(F10*$F$3)+(G10*$G$3)+(H10*$H$3)+(I10*$I$3)</f>
        <v>69.850000000000009</v>
      </c>
      <c r="M10" s="42"/>
      <c r="N10" s="20">
        <v>65</v>
      </c>
      <c r="O10" s="5">
        <f t="shared" ref="O10:O19" si="3">IF(B10=0,0,N10*L10)</f>
        <v>4540.2500000000009</v>
      </c>
      <c r="P10" s="13"/>
      <c r="Q10" s="21">
        <f t="shared" ref="Q10:Q19" si="4">IF(D10=0,0,R10/L10)</f>
        <v>70.869720830350758</v>
      </c>
      <c r="R10" s="5">
        <f>O10+$B$31+$B$32</f>
        <v>4950.2500000000009</v>
      </c>
      <c r="S10" s="35"/>
      <c r="T10" s="35"/>
    </row>
    <row r="11" spans="1:20" s="34" customFormat="1" ht="15" customHeight="1" x14ac:dyDescent="0.15">
      <c r="A11" s="4" t="s">
        <v>21</v>
      </c>
      <c r="B11" s="6">
        <v>3</v>
      </c>
      <c r="C11" s="13"/>
      <c r="D11" s="20">
        <v>61.1</v>
      </c>
      <c r="E11" s="20">
        <v>4.2</v>
      </c>
      <c r="F11" s="20">
        <v>0</v>
      </c>
      <c r="G11" s="20">
        <v>0</v>
      </c>
      <c r="H11" s="20">
        <v>0</v>
      </c>
      <c r="I11" s="20">
        <v>0</v>
      </c>
      <c r="J11" s="42"/>
      <c r="K11" s="21">
        <f t="shared" si="1"/>
        <v>65.3</v>
      </c>
      <c r="L11" s="21">
        <f t="shared" si="2"/>
        <v>63.2</v>
      </c>
      <c r="M11" s="42"/>
      <c r="N11" s="20">
        <v>65</v>
      </c>
      <c r="O11" s="5">
        <f t="shared" si="3"/>
        <v>4108</v>
      </c>
      <c r="P11" s="13"/>
      <c r="Q11" s="21">
        <f t="shared" si="4"/>
        <v>71.487341772151893</v>
      </c>
      <c r="R11" s="5">
        <f>O11+$B$31+$B$32</f>
        <v>4518</v>
      </c>
      <c r="S11" s="35"/>
    </row>
    <row r="12" spans="1:20" s="34" customFormat="1" ht="15" customHeight="1" x14ac:dyDescent="0.15">
      <c r="A12" s="4" t="s">
        <v>22</v>
      </c>
      <c r="B12" s="6">
        <v>6</v>
      </c>
      <c r="C12" s="13"/>
      <c r="D12" s="20">
        <v>69.8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42"/>
      <c r="K12" s="21">
        <f t="shared" si="1"/>
        <v>69.8</v>
      </c>
      <c r="L12" s="21">
        <f t="shared" si="2"/>
        <v>69.8</v>
      </c>
      <c r="M12" s="42"/>
      <c r="N12" s="20">
        <v>65</v>
      </c>
      <c r="O12" s="5">
        <f t="shared" si="3"/>
        <v>4537</v>
      </c>
      <c r="P12" s="13"/>
      <c r="Q12" s="21">
        <f t="shared" si="4"/>
        <v>70.873925501432666</v>
      </c>
      <c r="R12" s="5">
        <f>O12+$B$31+$B$32</f>
        <v>4947</v>
      </c>
      <c r="S12" s="35"/>
    </row>
    <row r="13" spans="1:20" s="34" customFormat="1" ht="15" customHeight="1" x14ac:dyDescent="0.15">
      <c r="A13" s="4" t="s">
        <v>23</v>
      </c>
      <c r="B13" s="6">
        <v>9</v>
      </c>
      <c r="C13" s="13"/>
      <c r="D13" s="20">
        <v>63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42"/>
      <c r="K13" s="21">
        <f t="shared" si="1"/>
        <v>63</v>
      </c>
      <c r="L13" s="21">
        <f t="shared" si="2"/>
        <v>63</v>
      </c>
      <c r="M13" s="42"/>
      <c r="N13" s="20">
        <v>65</v>
      </c>
      <c r="O13" s="5">
        <f t="shared" si="3"/>
        <v>4095</v>
      </c>
      <c r="P13" s="13"/>
      <c r="Q13" s="21">
        <f t="shared" si="4"/>
        <v>71.507936507936506</v>
      </c>
      <c r="R13" s="5">
        <f>O13+$B$31+$B$32</f>
        <v>4505</v>
      </c>
      <c r="S13" s="35"/>
    </row>
    <row r="14" spans="1:20" s="34" customFormat="1" ht="15" customHeight="1" x14ac:dyDescent="0.15">
      <c r="A14" s="4" t="s">
        <v>24</v>
      </c>
      <c r="B14" s="6">
        <v>0</v>
      </c>
      <c r="C14" s="13"/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42"/>
      <c r="K14" s="21">
        <f t="shared" si="1"/>
        <v>0</v>
      </c>
      <c r="L14" s="21">
        <f t="shared" si="2"/>
        <v>0</v>
      </c>
      <c r="M14" s="42"/>
      <c r="N14" s="20">
        <v>0</v>
      </c>
      <c r="O14" s="5">
        <f t="shared" si="3"/>
        <v>0</v>
      </c>
      <c r="P14" s="13"/>
      <c r="Q14" s="21">
        <f t="shared" si="4"/>
        <v>0</v>
      </c>
      <c r="R14" s="5">
        <f t="shared" ref="R14:R19" si="5">IF(B14=0,0,Q14*L14)</f>
        <v>0</v>
      </c>
    </row>
    <row r="15" spans="1:20" s="34" customFormat="1" ht="15" customHeight="1" x14ac:dyDescent="0.15">
      <c r="A15" s="4" t="s">
        <v>24</v>
      </c>
      <c r="B15" s="6">
        <v>0</v>
      </c>
      <c r="C15" s="13"/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42"/>
      <c r="K15" s="21">
        <f t="shared" si="1"/>
        <v>0</v>
      </c>
      <c r="L15" s="21">
        <f t="shared" si="2"/>
        <v>0</v>
      </c>
      <c r="M15" s="42"/>
      <c r="N15" s="20">
        <v>0</v>
      </c>
      <c r="O15" s="5">
        <f t="shared" si="3"/>
        <v>0</v>
      </c>
      <c r="P15" s="13"/>
      <c r="Q15" s="21">
        <f t="shared" si="4"/>
        <v>0</v>
      </c>
      <c r="R15" s="5">
        <f t="shared" si="5"/>
        <v>0</v>
      </c>
    </row>
    <row r="16" spans="1:20" s="34" customFormat="1" ht="15" customHeight="1" x14ac:dyDescent="0.15">
      <c r="A16" s="4" t="s">
        <v>24</v>
      </c>
      <c r="B16" s="6">
        <v>0</v>
      </c>
      <c r="C16" s="13"/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42"/>
      <c r="K16" s="21">
        <f t="shared" si="1"/>
        <v>0</v>
      </c>
      <c r="L16" s="21">
        <f t="shared" si="2"/>
        <v>0</v>
      </c>
      <c r="M16" s="42"/>
      <c r="N16" s="20">
        <v>0</v>
      </c>
      <c r="O16" s="5">
        <f t="shared" si="3"/>
        <v>0</v>
      </c>
      <c r="P16" s="13"/>
      <c r="Q16" s="21">
        <f t="shared" si="4"/>
        <v>0</v>
      </c>
      <c r="R16" s="5">
        <f t="shared" si="5"/>
        <v>0</v>
      </c>
    </row>
    <row r="17" spans="1:24" s="34" customFormat="1" ht="15" customHeight="1" x14ac:dyDescent="0.15">
      <c r="A17" s="4" t="s">
        <v>24</v>
      </c>
      <c r="B17" s="6">
        <v>0</v>
      </c>
      <c r="C17" s="13"/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42"/>
      <c r="K17" s="21">
        <f t="shared" si="1"/>
        <v>0</v>
      </c>
      <c r="L17" s="21">
        <f t="shared" si="2"/>
        <v>0</v>
      </c>
      <c r="M17" s="42"/>
      <c r="N17" s="20">
        <v>0</v>
      </c>
      <c r="O17" s="5">
        <f t="shared" si="3"/>
        <v>0</v>
      </c>
      <c r="P17" s="13"/>
      <c r="Q17" s="21">
        <f t="shared" si="4"/>
        <v>0</v>
      </c>
      <c r="R17" s="5">
        <f t="shared" si="5"/>
        <v>0</v>
      </c>
    </row>
    <row r="18" spans="1:24" s="34" customFormat="1" ht="15" customHeight="1" x14ac:dyDescent="0.15">
      <c r="A18" s="4" t="s">
        <v>24</v>
      </c>
      <c r="B18" s="6">
        <v>0</v>
      </c>
      <c r="C18" s="13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42"/>
      <c r="K18" s="21">
        <f t="shared" si="1"/>
        <v>0</v>
      </c>
      <c r="L18" s="21">
        <f t="shared" si="2"/>
        <v>0</v>
      </c>
      <c r="M18" s="42"/>
      <c r="N18" s="20">
        <v>0</v>
      </c>
      <c r="O18" s="5">
        <f t="shared" si="3"/>
        <v>0</v>
      </c>
      <c r="P18" s="13"/>
      <c r="Q18" s="21">
        <f t="shared" si="4"/>
        <v>0</v>
      </c>
      <c r="R18" s="5">
        <f t="shared" si="5"/>
        <v>0</v>
      </c>
    </row>
    <row r="19" spans="1:24" s="34" customFormat="1" ht="15" customHeight="1" x14ac:dyDescent="0.15">
      <c r="A19" s="23" t="s">
        <v>25</v>
      </c>
      <c r="B19" s="24">
        <v>0</v>
      </c>
      <c r="C19" s="45"/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43"/>
      <c r="K19" s="26">
        <f t="shared" si="1"/>
        <v>0</v>
      </c>
      <c r="L19" s="26">
        <f t="shared" si="2"/>
        <v>0</v>
      </c>
      <c r="M19" s="43"/>
      <c r="N19" s="25">
        <v>0</v>
      </c>
      <c r="O19" s="27">
        <f t="shared" si="3"/>
        <v>0</v>
      </c>
      <c r="P19" s="45"/>
      <c r="Q19" s="26">
        <f t="shared" si="4"/>
        <v>0</v>
      </c>
      <c r="R19" s="27">
        <f t="shared" si="5"/>
        <v>0</v>
      </c>
    </row>
    <row r="20" spans="1:24" s="34" customFormat="1" ht="15" customHeight="1" x14ac:dyDescent="0.15">
      <c r="A20" s="7" t="s">
        <v>26</v>
      </c>
      <c r="B20" s="8">
        <f>SUM(B10:B19)</f>
        <v>20</v>
      </c>
      <c r="C20" s="33"/>
      <c r="D20" s="12">
        <f>SUMPRODUCT(D10:D19,B10:B19)</f>
        <v>1305.5</v>
      </c>
      <c r="E20" s="12">
        <f>SUMPRODUCT(E10:E19,B10:B19)</f>
        <v>19.200000000000003</v>
      </c>
      <c r="F20" s="12">
        <f>SUMPRODUCT(F10:F19,B10:B19)</f>
        <v>0</v>
      </c>
      <c r="G20" s="12">
        <f>SUMPRODUCT(G10:G19,B10:B19)</f>
        <v>0</v>
      </c>
      <c r="H20" s="12">
        <f>SUMPRODUCT(H10:H19,B10:B19)</f>
        <v>0</v>
      </c>
      <c r="I20" s="12">
        <f>SUMPRODUCT(I10:I19,B10:B19)</f>
        <v>0</v>
      </c>
      <c r="J20" s="22"/>
      <c r="K20" s="12">
        <f>SUMPRODUCT(K10:K19,B10:B19)</f>
        <v>1324.6999999999998</v>
      </c>
      <c r="L20" s="12">
        <f>SUMPRODUCT(L10:L19,B10:B19)</f>
        <v>1315.1</v>
      </c>
      <c r="M20" s="22"/>
      <c r="N20" s="12">
        <f>SUMPRODUCT(N10:N19,B10:B19)/B20</f>
        <v>65</v>
      </c>
      <c r="O20" s="12">
        <f>SUMPRODUCT(O10:O19,B10:B19)</f>
        <v>85481.5</v>
      </c>
      <c r="P20" s="22"/>
      <c r="Q20" s="12">
        <f>SUMPRODUCT(Q10:Q19,B10:B19)/B20</f>
        <v>71.250822427859092</v>
      </c>
      <c r="R20" s="12">
        <f>SUMPRODUCT(R10:R19,B10:B19)</f>
        <v>93681.5</v>
      </c>
    </row>
    <row r="21" spans="1:24" s="34" customFormat="1" ht="12" customHeight="1" x14ac:dyDescent="0.15">
      <c r="B21" s="35"/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24" s="34" customFormat="1" ht="15" customHeight="1" x14ac:dyDescent="0.15">
      <c r="A22" s="28" t="s">
        <v>27</v>
      </c>
      <c r="B22" s="29">
        <f>B8+B20</f>
        <v>21</v>
      </c>
      <c r="C22" s="46"/>
      <c r="D22" s="30">
        <f t="shared" ref="D22:I22" si="6">D8+D20</f>
        <v>1343.5</v>
      </c>
      <c r="E22" s="30">
        <f t="shared" si="6"/>
        <v>19.200000000000003</v>
      </c>
      <c r="F22" s="30">
        <f t="shared" si="6"/>
        <v>0</v>
      </c>
      <c r="G22" s="30">
        <f t="shared" si="6"/>
        <v>0</v>
      </c>
      <c r="H22" s="30">
        <f t="shared" si="6"/>
        <v>0</v>
      </c>
      <c r="I22" s="30">
        <f t="shared" si="6"/>
        <v>0</v>
      </c>
      <c r="J22" s="31"/>
      <c r="K22" s="30">
        <f>K8+K20</f>
        <v>1362.6999999999998</v>
      </c>
      <c r="L22" s="30">
        <f>L8+L20</f>
        <v>1353.1</v>
      </c>
      <c r="M22" s="31"/>
      <c r="N22" s="31"/>
      <c r="O22" s="29">
        <f>O8+O20</f>
        <v>88331.5</v>
      </c>
      <c r="P22" s="46"/>
      <c r="Q22" s="37"/>
      <c r="R22" s="29">
        <f>R8+R20</f>
        <v>96941.5</v>
      </c>
    </row>
    <row r="23" spans="1:24" s="34" customFormat="1" ht="15" customHeight="1" x14ac:dyDescent="0.15">
      <c r="A23" s="7" t="s">
        <v>28</v>
      </c>
      <c r="D23" s="12">
        <f>IF(B22=0,0,D22/B22)</f>
        <v>63.976190476190474</v>
      </c>
      <c r="E23" s="12">
        <f>IF(B22=0,0,E22/B22)</f>
        <v>0.91428571428571437</v>
      </c>
      <c r="K23" s="12">
        <f>IF(B22=0,0,K22/B22)</f>
        <v>64.890476190476178</v>
      </c>
      <c r="L23" s="12">
        <f>IF(B22=0,0,L22/B22)</f>
        <v>64.433333333333323</v>
      </c>
      <c r="M23" s="22"/>
      <c r="N23" s="22"/>
      <c r="O23" s="8">
        <f>IF(B22=0,0,O22/B22)</f>
        <v>4206.2619047619046</v>
      </c>
      <c r="P23" s="33"/>
      <c r="R23" s="8">
        <f>IF(B22=0,0,R22/B22)</f>
        <v>4616.2619047619046</v>
      </c>
    </row>
    <row r="24" spans="1:24" s="34" customFormat="1" ht="12" customHeight="1" x14ac:dyDescent="0.15"/>
    <row r="25" spans="1:24" s="34" customFormat="1" ht="12" customHeight="1" x14ac:dyDescent="0.15">
      <c r="A25" s="34" t="s">
        <v>29</v>
      </c>
      <c r="K25" s="54">
        <f>69-38</f>
        <v>31</v>
      </c>
    </row>
    <row r="26" spans="1:24" s="34" customFormat="1" ht="12" customHeight="1" x14ac:dyDescent="0.15">
      <c r="A26" s="34" t="s">
        <v>30</v>
      </c>
      <c r="K26" s="54">
        <v>131</v>
      </c>
    </row>
    <row r="27" spans="1:24" s="34" customFormat="1" ht="12" customHeight="1" x14ac:dyDescent="0.15">
      <c r="A27" s="34" t="s">
        <v>31</v>
      </c>
      <c r="K27" s="54">
        <v>4</v>
      </c>
    </row>
    <row r="28" spans="1:24" s="34" customFormat="1" ht="12" customHeight="1" x14ac:dyDescent="0.15">
      <c r="A28" s="39" t="s">
        <v>32</v>
      </c>
      <c r="B28" s="39"/>
      <c r="C28" s="39"/>
      <c r="D28" s="39"/>
      <c r="E28" s="39"/>
      <c r="F28" s="39"/>
      <c r="G28" s="39"/>
      <c r="H28" s="39"/>
      <c r="I28" s="39"/>
      <c r="J28" s="39"/>
      <c r="K28" s="53">
        <f>66*4+70-K25+7</f>
        <v>310</v>
      </c>
    </row>
    <row r="29" spans="1:24" s="34" customFormat="1" ht="12" customHeight="1" x14ac:dyDescent="0.15">
      <c r="A29" s="51" t="s">
        <v>27</v>
      </c>
      <c r="K29" s="52">
        <f>K22+K25+K28</f>
        <v>1703.6999999999998</v>
      </c>
    </row>
    <row r="30" spans="1:24" s="34" customFormat="1" ht="12" customHeight="1" x14ac:dyDescent="0.15"/>
    <row r="31" spans="1:24" s="34" customFormat="1" ht="12" customHeight="1" x14ac:dyDescent="0.15">
      <c r="A31" s="7" t="s">
        <v>33</v>
      </c>
      <c r="B31" s="38">
        <v>330</v>
      </c>
    </row>
    <row r="32" spans="1:24" s="34" customFormat="1" ht="15" customHeight="1" x14ac:dyDescent="0.15">
      <c r="A32" s="7" t="s">
        <v>34</v>
      </c>
      <c r="B32" s="38">
        <v>80</v>
      </c>
      <c r="X32" s="34">
        <f>17+22+30+30+32</f>
        <v>131</v>
      </c>
    </row>
    <row r="33" spans="1:1" ht="15" customHeight="1" x14ac:dyDescent="0.2"/>
    <row r="34" spans="1:1" ht="15" customHeight="1" x14ac:dyDescent="0.2">
      <c r="A34" s="7" t="s">
        <v>35</v>
      </c>
    </row>
    <row r="35" spans="1:1" ht="15" customHeight="1" x14ac:dyDescent="0.2">
      <c r="A35" s="9" t="s">
        <v>36</v>
      </c>
    </row>
    <row r="36" spans="1:1" ht="15" customHeight="1" x14ac:dyDescent="0.2">
      <c r="A36" s="10" t="s">
        <v>37</v>
      </c>
    </row>
    <row r="37" spans="1:1" x14ac:dyDescent="0.2">
      <c r="A37" s="19" t="s">
        <v>38</v>
      </c>
    </row>
    <row r="38" spans="1:1" x14ac:dyDescent="0.2">
      <c r="A38" s="11" t="s">
        <v>39</v>
      </c>
    </row>
  </sheetData>
  <mergeCells count="2">
    <mergeCell ref="N3:O3"/>
    <mergeCell ref="Q3:R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7"/>
  <sheetViews>
    <sheetView tabSelected="1" zoomScaleNormal="100" workbookViewId="0">
      <selection activeCell="M23" sqref="M23"/>
    </sheetView>
  </sheetViews>
  <sheetFormatPr baseColWidth="10" defaultColWidth="8.6640625" defaultRowHeight="12" x14ac:dyDescent="0.2"/>
  <cols>
    <col min="1" max="1" width="5.6640625" style="56" customWidth="1"/>
    <col min="2" max="2" width="40" style="56" customWidth="1"/>
    <col min="3" max="3" width="12" style="56" customWidth="1"/>
    <col min="4" max="4" width="11.1640625" style="56" customWidth="1"/>
    <col min="5" max="5" width="9.33203125" style="56" customWidth="1"/>
    <col min="6" max="7" width="11.33203125" style="56" bestFit="1" customWidth="1"/>
    <col min="8" max="8" width="12" style="56" customWidth="1"/>
    <col min="9" max="9" width="8.6640625" style="56" customWidth="1"/>
    <col min="10" max="16384" width="8.6640625" style="56"/>
  </cols>
  <sheetData>
    <row r="1" spans="1:8" ht="17.25" customHeight="1" x14ac:dyDescent="0.2">
      <c r="A1" s="55" t="s">
        <v>40</v>
      </c>
    </row>
    <row r="2" spans="1:8" ht="15" customHeight="1" x14ac:dyDescent="0.2">
      <c r="D2" s="57" t="s">
        <v>41</v>
      </c>
      <c r="E2" s="58">
        <f>'Superficies y Valores'!R22</f>
        <v>96941.5</v>
      </c>
      <c r="F2" s="57" t="s">
        <v>42</v>
      </c>
      <c r="G2" s="59">
        <f>'Superficies y Valores'!L22</f>
        <v>1353.1</v>
      </c>
    </row>
    <row r="3" spans="1:8" ht="15" customHeight="1" x14ac:dyDescent="0.2">
      <c r="A3" s="3" t="s">
        <v>43</v>
      </c>
      <c r="B3" s="3" t="s">
        <v>44</v>
      </c>
      <c r="C3" s="3" t="s">
        <v>45</v>
      </c>
      <c r="D3" s="3" t="s">
        <v>14</v>
      </c>
      <c r="E3" s="3" t="s">
        <v>15</v>
      </c>
      <c r="F3" s="3" t="s">
        <v>46</v>
      </c>
      <c r="G3" s="3" t="s">
        <v>47</v>
      </c>
      <c r="H3" s="3" t="s">
        <v>48</v>
      </c>
    </row>
    <row r="4" spans="1:8" ht="15" customHeight="1" x14ac:dyDescent="0.2">
      <c r="A4" s="60" t="s">
        <v>49</v>
      </c>
      <c r="B4" s="61"/>
      <c r="C4" s="62">
        <v>1000</v>
      </c>
      <c r="D4" s="63">
        <f>IF(C4=0,0,E4/C4)</f>
        <v>11.919499999999999</v>
      </c>
      <c r="E4" s="62">
        <f>SUM(E5:E7)</f>
        <v>11919.5</v>
      </c>
      <c r="F4" s="64">
        <f t="shared" ref="F4:F10" si="0">IF($E$2=0,0,E4/$E$2)</f>
        <v>0.12295559693217044</v>
      </c>
      <c r="G4" s="64">
        <f>IF(E70=0,0,E4/E70)</f>
        <v>0.13089458328874432</v>
      </c>
      <c r="H4" s="65">
        <f t="shared" ref="H4:H10" si="1">IF($G$2=0,0,E4/$G$2)</f>
        <v>8.809031113738822</v>
      </c>
    </row>
    <row r="5" spans="1:8" ht="15" customHeight="1" x14ac:dyDescent="0.2">
      <c r="B5" s="66" t="s">
        <v>50</v>
      </c>
      <c r="C5" s="67">
        <v>1000</v>
      </c>
      <c r="D5" s="68">
        <v>11</v>
      </c>
      <c r="E5" s="69">
        <f>C5*D5</f>
        <v>11000</v>
      </c>
      <c r="F5" s="70">
        <f t="shared" si="0"/>
        <v>0.11347049509240109</v>
      </c>
      <c r="G5" s="70">
        <f>IF(E70=0,0,E5/E70)</f>
        <v>0.12079704821311192</v>
      </c>
      <c r="H5" s="71">
        <f t="shared" si="1"/>
        <v>8.1294804522947306</v>
      </c>
    </row>
    <row r="6" spans="1:8" ht="15" customHeight="1" x14ac:dyDescent="0.2">
      <c r="B6" s="66" t="s">
        <v>51</v>
      </c>
      <c r="C6" s="67">
        <v>1000</v>
      </c>
      <c r="D6" s="68">
        <v>0.65</v>
      </c>
      <c r="E6" s="69">
        <f>C6*D6</f>
        <v>650</v>
      </c>
      <c r="F6" s="70">
        <f t="shared" si="0"/>
        <v>6.7050747100055189E-3</v>
      </c>
      <c r="G6" s="70">
        <f>IF(E70=0,0,E6/E70)</f>
        <v>7.1380073944111591E-3</v>
      </c>
      <c r="H6" s="71">
        <f t="shared" si="1"/>
        <v>0.4803783903628705</v>
      </c>
    </row>
    <row r="7" spans="1:8" ht="15" customHeight="1" x14ac:dyDescent="0.2">
      <c r="A7" s="72">
        <v>2.4500000000000001E-2</v>
      </c>
      <c r="B7" s="66" t="s">
        <v>52</v>
      </c>
      <c r="C7" s="73"/>
      <c r="D7" s="68">
        <v>0.26</v>
      </c>
      <c r="E7" s="74">
        <f>E5*A7</f>
        <v>269.5</v>
      </c>
      <c r="F7" s="70">
        <f t="shared" si="0"/>
        <v>2.7800271297638264E-3</v>
      </c>
      <c r="G7" s="70">
        <f>IF(E70=0,0,E7/E70)</f>
        <v>2.9595276812212422E-3</v>
      </c>
      <c r="H7" s="71">
        <f t="shared" si="1"/>
        <v>0.1991722710812209</v>
      </c>
    </row>
    <row r="8" spans="1:8" ht="15" customHeight="1" x14ac:dyDescent="0.2">
      <c r="A8" s="75" t="s">
        <v>53</v>
      </c>
      <c r="B8" s="76"/>
      <c r="C8" s="77">
        <f>C11</f>
        <v>1838.7</v>
      </c>
      <c r="D8" s="78">
        <f>IF(C8=0,0,E8/C8)</f>
        <v>33.962277696198399</v>
      </c>
      <c r="E8" s="77">
        <f>E10+E9</f>
        <v>62446.44</v>
      </c>
      <c r="F8" s="79">
        <f t="shared" si="0"/>
        <v>0.64416622395981082</v>
      </c>
      <c r="G8" s="80">
        <f>IF(E70=0,0,E8/E70)</f>
        <v>0.68575869303792736</v>
      </c>
      <c r="H8" s="81">
        <f t="shared" si="1"/>
        <v>46.150646663217799</v>
      </c>
    </row>
    <row r="9" spans="1:8" ht="15" customHeight="1" x14ac:dyDescent="0.2">
      <c r="A9" s="82">
        <v>0.19</v>
      </c>
      <c r="B9" s="83" t="s">
        <v>54</v>
      </c>
      <c r="C9" s="84">
        <f>C8</f>
        <v>1838.7</v>
      </c>
      <c r="D9" s="85">
        <v>4.79</v>
      </c>
      <c r="E9" s="86">
        <f>E10*A9</f>
        <v>9970.44</v>
      </c>
      <c r="F9" s="87">
        <f t="shared" si="0"/>
        <v>0.10285006937173451</v>
      </c>
      <c r="G9" s="87">
        <f>IF(E70=0,0,E9/E70)</f>
        <v>0.10949088376235816</v>
      </c>
      <c r="H9" s="88">
        <f t="shared" si="1"/>
        <v>7.3685906437070443</v>
      </c>
    </row>
    <row r="10" spans="1:8" ht="15" customHeight="1" x14ac:dyDescent="0.2">
      <c r="A10" s="60" t="s">
        <v>55</v>
      </c>
      <c r="B10" s="61"/>
      <c r="C10" s="62">
        <f>C8</f>
        <v>1838.7</v>
      </c>
      <c r="D10" s="63">
        <f>IF(C10=0,0,E10/C10)</f>
        <v>28.539729156469242</v>
      </c>
      <c r="E10" s="62">
        <f>E12+E18+E22+E28+E38</f>
        <v>52476</v>
      </c>
      <c r="F10" s="64">
        <f t="shared" si="0"/>
        <v>0.54131615458807636</v>
      </c>
      <c r="G10" s="64">
        <f>IF(E70=0,0,E10/E70)</f>
        <v>0.5762678092755692</v>
      </c>
      <c r="H10" s="65">
        <f t="shared" si="1"/>
        <v>38.782056019510755</v>
      </c>
    </row>
    <row r="11" spans="1:8" ht="15" customHeight="1" x14ac:dyDescent="0.2">
      <c r="A11" s="89"/>
      <c r="B11" s="90" t="s">
        <v>56</v>
      </c>
      <c r="C11" s="91">
        <f>C12+C18+C22+C31+C35</f>
        <v>1838.7</v>
      </c>
      <c r="D11" s="92"/>
      <c r="E11" s="91">
        <f>E12+E18+E22+E31+E35</f>
        <v>46326</v>
      </c>
      <c r="F11" s="93">
        <f>F12+F18+F22+F31+F35</f>
        <v>0.47787583233187025</v>
      </c>
      <c r="G11" s="93">
        <f>G12+G18+G22+G31+G35</f>
        <v>0.50873127777460214</v>
      </c>
      <c r="H11" s="94">
        <f>H12+H18+H22+H31+H35</f>
        <v>34.236937403000518</v>
      </c>
    </row>
    <row r="12" spans="1:8" ht="15" customHeight="1" x14ac:dyDescent="0.2">
      <c r="A12" s="89"/>
      <c r="B12" s="95" t="s">
        <v>57</v>
      </c>
      <c r="C12" s="96">
        <f>SUM(C13:C17)</f>
        <v>1362.7</v>
      </c>
      <c r="D12" s="97"/>
      <c r="E12" s="96">
        <f>SUM(E13:E17)</f>
        <v>37696</v>
      </c>
      <c r="F12" s="98">
        <f>SUM(F13:F17)</f>
        <v>0.38885307118210466</v>
      </c>
      <c r="G12" s="98">
        <f>SUM(G13:G17)</f>
        <v>0.41396050267649703</v>
      </c>
      <c r="H12" s="99">
        <f>SUM(H13:H17)</f>
        <v>27.858990466336564</v>
      </c>
    </row>
    <row r="13" spans="1:8" ht="15" customHeight="1" x14ac:dyDescent="0.2">
      <c r="B13" s="100" t="s">
        <v>58</v>
      </c>
      <c r="C13" s="101">
        <f>'Superficies y Valores'!D20</f>
        <v>1305.5</v>
      </c>
      <c r="D13" s="68">
        <v>28</v>
      </c>
      <c r="E13" s="69">
        <f>C13*D13</f>
        <v>36554</v>
      </c>
      <c r="F13" s="70">
        <f>IF($E$2=0,0,E13/$E$2)</f>
        <v>0.37707277069160267</v>
      </c>
      <c r="G13" s="70">
        <f>IF($E$70=0,0,E13/$E$70)</f>
        <v>0.40141957276200851</v>
      </c>
      <c r="H13" s="71">
        <f>IF($G$2=0,0,E13/$G$2)</f>
        <v>27.015002586652873</v>
      </c>
    </row>
    <row r="14" spans="1:8" ht="15" customHeight="1" x14ac:dyDescent="0.2">
      <c r="B14" s="100" t="s">
        <v>10</v>
      </c>
      <c r="C14" s="102">
        <f>'Superficies y Valores'!H22</f>
        <v>0</v>
      </c>
      <c r="D14" s="103">
        <v>0</v>
      </c>
      <c r="E14" s="69">
        <f>C14*D14</f>
        <v>0</v>
      </c>
      <c r="F14" s="70">
        <f>IF($E$2=0,0,E14/$E$2)</f>
        <v>0</v>
      </c>
      <c r="G14" s="70">
        <f>IF($E$70=0,0,E14/$E$70)</f>
        <v>0</v>
      </c>
      <c r="H14" s="71">
        <f>IF($G$2=0,0,E14/$G$2)</f>
        <v>0</v>
      </c>
    </row>
    <row r="15" spans="1:8" ht="15" customHeight="1" x14ac:dyDescent="0.2">
      <c r="B15" s="100" t="s">
        <v>59</v>
      </c>
      <c r="C15" s="102">
        <f>'Superficies y Valores'!D8</f>
        <v>38</v>
      </c>
      <c r="D15" s="68">
        <v>25</v>
      </c>
      <c r="E15" s="69">
        <f>C15*D15</f>
        <v>950</v>
      </c>
      <c r="F15" s="70">
        <f>IF($E$2=0,0,E15/$E$2)</f>
        <v>9.7997245761619126E-3</v>
      </c>
      <c r="G15" s="70">
        <f>IF($E$70=0,0,E15/$E$70)</f>
        <v>1.0432472345677849E-2</v>
      </c>
      <c r="H15" s="71">
        <f>IF($G$2=0,0,E15/$G$2)</f>
        <v>0.70209149360727219</v>
      </c>
    </row>
    <row r="16" spans="1:8" ht="15" customHeight="1" x14ac:dyDescent="0.2">
      <c r="B16" s="100" t="s">
        <v>60</v>
      </c>
      <c r="C16" s="101">
        <f>'Superficies y Valores'!E20</f>
        <v>19.200000000000003</v>
      </c>
      <c r="D16" s="68">
        <v>10</v>
      </c>
      <c r="E16" s="69">
        <f>C16*D16</f>
        <v>192.00000000000003</v>
      </c>
      <c r="F16" s="70">
        <f>IF($E$2=0,0,E16/$E$2)</f>
        <v>1.980575914340092E-3</v>
      </c>
      <c r="G16" s="70">
        <f>IF($E$70=0,0,E16/$E$70)</f>
        <v>2.1084575688106811E-3</v>
      </c>
      <c r="H16" s="71">
        <f>IF($G$2=0,0,E16/$G$2)</f>
        <v>0.14189638607641714</v>
      </c>
    </row>
    <row r="17" spans="2:8" ht="15" customHeight="1" x14ac:dyDescent="0.2">
      <c r="B17" s="100" t="s">
        <v>61</v>
      </c>
      <c r="C17" s="102">
        <f>'Superficies y Valores'!G20</f>
        <v>0</v>
      </c>
      <c r="D17" s="103">
        <v>0</v>
      </c>
      <c r="E17" s="69">
        <f>C17*D17</f>
        <v>0</v>
      </c>
      <c r="F17" s="70">
        <f>IF($E$2=0,0,E17/$E$2)</f>
        <v>0</v>
      </c>
      <c r="G17" s="70">
        <f>IF($E$70=0,0,E17/$E$70)</f>
        <v>0</v>
      </c>
      <c r="H17" s="71">
        <f>IF($G$2=0,0,E17/$G$2)</f>
        <v>0</v>
      </c>
    </row>
    <row r="18" spans="2:8" ht="15" customHeight="1" x14ac:dyDescent="0.2">
      <c r="B18" s="104" t="s">
        <v>62</v>
      </c>
      <c r="C18" s="105">
        <f>SUM(C19:C21)</f>
        <v>0</v>
      </c>
      <c r="D18" s="106"/>
      <c r="E18" s="105">
        <f>SUM(E19:E21)</f>
        <v>0</v>
      </c>
      <c r="F18" s="98">
        <f>SUM(F19:F21)</f>
        <v>0</v>
      </c>
      <c r="G18" s="98">
        <f>SUM(G19:G21)</f>
        <v>0</v>
      </c>
      <c r="H18" s="99">
        <f>SUM(H19:H21)</f>
        <v>0</v>
      </c>
    </row>
    <row r="19" spans="2:8" ht="15" customHeight="1" x14ac:dyDescent="0.2">
      <c r="B19" s="100" t="s">
        <v>63</v>
      </c>
      <c r="C19" s="107">
        <v>0</v>
      </c>
      <c r="D19" s="68">
        <v>14</v>
      </c>
      <c r="E19" s="69">
        <f>C19*D19</f>
        <v>0</v>
      </c>
      <c r="F19" s="70">
        <f>IF($E$2=0,0,E19/$E$2)</f>
        <v>0</v>
      </c>
      <c r="G19" s="70">
        <f>IF($E$70=0,0,E19/$E$70)</f>
        <v>0</v>
      </c>
      <c r="H19" s="71">
        <f>IF($G$2=0,0,E19/$G$2)</f>
        <v>0</v>
      </c>
    </row>
    <row r="20" spans="2:8" ht="15" customHeight="1" x14ac:dyDescent="0.2">
      <c r="B20" s="100" t="s">
        <v>64</v>
      </c>
      <c r="C20" s="107">
        <v>0</v>
      </c>
      <c r="D20" s="68">
        <v>14</v>
      </c>
      <c r="E20" s="69">
        <f>C20*D20</f>
        <v>0</v>
      </c>
      <c r="F20" s="70">
        <f>IF($E$2=0,0,E20/$E$2)</f>
        <v>0</v>
      </c>
      <c r="G20" s="70">
        <f>IF($E$70=0,0,E20/$E$70)</f>
        <v>0</v>
      </c>
      <c r="H20" s="71">
        <f>IF($G$2=0,0,E20/$G$2)</f>
        <v>0</v>
      </c>
    </row>
    <row r="21" spans="2:8" ht="15" customHeight="1" x14ac:dyDescent="0.2">
      <c r="B21" s="100" t="s">
        <v>65</v>
      </c>
      <c r="C21" s="107">
        <v>0</v>
      </c>
      <c r="D21" s="68">
        <v>24</v>
      </c>
      <c r="E21" s="69">
        <f>C21*D21</f>
        <v>0</v>
      </c>
      <c r="F21" s="70">
        <f>IF($E$2=0,0,E21/$E$2)</f>
        <v>0</v>
      </c>
      <c r="G21" s="70">
        <f>IF($E$70=0,0,E21/$E$70)</f>
        <v>0</v>
      </c>
      <c r="H21" s="71">
        <f>IF($G$2=0,0,E21/$G$2)</f>
        <v>0</v>
      </c>
    </row>
    <row r="22" spans="2:8" ht="15" customHeight="1" x14ac:dyDescent="0.2">
      <c r="B22" s="104" t="s">
        <v>66</v>
      </c>
      <c r="C22" s="105">
        <f>SUM(C23:C27)</f>
        <v>345</v>
      </c>
      <c r="D22" s="108"/>
      <c r="E22" s="105">
        <f>SUM(E23:E27)</f>
        <v>8368</v>
      </c>
      <c r="F22" s="109">
        <f>SUM(F23:F27)</f>
        <v>8.6320100266655667E-2</v>
      </c>
      <c r="G22" s="109">
        <f>SUM(G23:G27)</f>
        <v>9.18936090406655E-2</v>
      </c>
      <c r="H22" s="110">
        <f>SUM(H23:H27)</f>
        <v>6.1843174931638458</v>
      </c>
    </row>
    <row r="23" spans="2:8" ht="15" customHeight="1" x14ac:dyDescent="0.2">
      <c r="B23" s="100" t="s">
        <v>67</v>
      </c>
      <c r="C23" s="102">
        <f>'Superficies y Valores'!K28</f>
        <v>310</v>
      </c>
      <c r="D23" s="68">
        <v>24</v>
      </c>
      <c r="E23" s="69">
        <f>C23*D23</f>
        <v>7440</v>
      </c>
      <c r="F23" s="70">
        <f>IF($E$2=0,0,E23/$E$2)</f>
        <v>7.6747316680678551E-2</v>
      </c>
      <c r="G23" s="70">
        <f>IF($E$70=0,0,E23/$E$70)</f>
        <v>8.170273079141388E-2</v>
      </c>
      <c r="H23" s="71">
        <f>IF($G$2=0,0,E23/$G$2)</f>
        <v>5.4984849604611634</v>
      </c>
    </row>
    <row r="24" spans="2:8" ht="15" customHeight="1" x14ac:dyDescent="0.2">
      <c r="B24" s="100" t="s">
        <v>68</v>
      </c>
      <c r="C24" s="107">
        <v>0</v>
      </c>
      <c r="D24" s="68">
        <v>24</v>
      </c>
      <c r="E24" s="69">
        <f>C24*D24</f>
        <v>0</v>
      </c>
      <c r="F24" s="70">
        <f>IF($E$2=0,0,E24/$E$2)</f>
        <v>0</v>
      </c>
      <c r="G24" s="70">
        <f>IF($E$70=0,0,E24/$E$70)</f>
        <v>0</v>
      </c>
      <c r="H24" s="71">
        <f>IF($G$2=0,0,E24/$G$2)</f>
        <v>0</v>
      </c>
    </row>
    <row r="25" spans="2:8" ht="15" customHeight="1" x14ac:dyDescent="0.2">
      <c r="B25" s="100" t="s">
        <v>69</v>
      </c>
      <c r="C25" s="101">
        <f>'Superficies y Valores'!K25</f>
        <v>31</v>
      </c>
      <c r="D25" s="68">
        <v>28</v>
      </c>
      <c r="E25" s="69">
        <f>C25*D25</f>
        <v>868</v>
      </c>
      <c r="F25" s="70">
        <f>IF($E$2=0,0,E25/$E$2)</f>
        <v>8.953853612745831E-3</v>
      </c>
      <c r="G25" s="70">
        <f>IF($E$70=0,0,E25/$E$70)</f>
        <v>9.5319852589982861E-3</v>
      </c>
      <c r="H25" s="71">
        <f>IF($G$2=0,0,E25/$G$2)</f>
        <v>0.64148991205380246</v>
      </c>
    </row>
    <row r="26" spans="2:8" ht="15" customHeight="1" x14ac:dyDescent="0.2">
      <c r="B26" s="100" t="s">
        <v>70</v>
      </c>
      <c r="C26" s="107">
        <v>0</v>
      </c>
      <c r="D26" s="68">
        <v>24</v>
      </c>
      <c r="E26" s="69">
        <f>C26*D26</f>
        <v>0</v>
      </c>
      <c r="F26" s="70">
        <f>IF($E$2=0,0,E26/$E$2)</f>
        <v>0</v>
      </c>
      <c r="G26" s="70">
        <f>IF($E$70=0,0,E26/$E$70)</f>
        <v>0</v>
      </c>
      <c r="H26" s="71">
        <f>IF($G$2=0,0,E26/$G$2)</f>
        <v>0</v>
      </c>
    </row>
    <row r="27" spans="2:8" ht="15" customHeight="1" x14ac:dyDescent="0.2">
      <c r="B27" s="100" t="s">
        <v>71</v>
      </c>
      <c r="C27" s="102">
        <f>'Superficies y Valores'!K27</f>
        <v>4</v>
      </c>
      <c r="D27" s="68">
        <v>15</v>
      </c>
      <c r="E27" s="69">
        <f>C27*D27</f>
        <v>60</v>
      </c>
      <c r="F27" s="70">
        <f>IF($E$2=0,0,E27/$E$2)</f>
        <v>6.1892997323127871E-4</v>
      </c>
      <c r="G27" s="70">
        <f>IF($E$70=0,0,E27/$E$70)</f>
        <v>6.5889299025333778E-4</v>
      </c>
      <c r="H27" s="71">
        <f>IF($G$2=0,0,E27/$G$2)</f>
        <v>4.4342620648880351E-2</v>
      </c>
    </row>
    <row r="28" spans="2:8" ht="15" customHeight="1" x14ac:dyDescent="0.2">
      <c r="B28" s="104" t="s">
        <v>72</v>
      </c>
      <c r="C28" s="96">
        <f>SUM(C29:C37)</f>
        <v>1631</v>
      </c>
      <c r="D28" s="106"/>
      <c r="E28" s="96">
        <f>SUM(E29:E37)</f>
        <v>6012</v>
      </c>
      <c r="F28" s="98">
        <f>SUM(F29:F37)</f>
        <v>6.2016783317774125E-2</v>
      </c>
      <c r="G28" s="98">
        <f>SUM(G29:G37)</f>
        <v>6.6021077623384453E-2</v>
      </c>
      <c r="H28" s="99">
        <f>SUM(H29:H37)</f>
        <v>4.4431305890178105</v>
      </c>
    </row>
    <row r="29" spans="2:8" ht="15" customHeight="1" x14ac:dyDescent="0.2">
      <c r="B29" s="100" t="s">
        <v>73</v>
      </c>
      <c r="C29" s="101">
        <f>C5</f>
        <v>1000</v>
      </c>
      <c r="D29" s="103">
        <v>0</v>
      </c>
      <c r="E29" s="69">
        <f t="shared" ref="E29:E37" si="2">C29*D29</f>
        <v>0</v>
      </c>
      <c r="F29" s="70">
        <f t="shared" ref="F29:F54" si="3">IF($E$2=0,0,E29/$E$2)</f>
        <v>0</v>
      </c>
      <c r="G29" s="70">
        <f t="shared" ref="G29:G37" si="4">IF($E$70=0,0,E29/$E$70)</f>
        <v>0</v>
      </c>
      <c r="H29" s="71">
        <f t="shared" ref="H29:H37" si="5">IF($G$2=0,0,E29/$G$2)</f>
        <v>0</v>
      </c>
    </row>
    <row r="30" spans="2:8" ht="15" customHeight="1" x14ac:dyDescent="0.2">
      <c r="B30" s="100" t="s">
        <v>74</v>
      </c>
      <c r="C30" s="107">
        <v>0</v>
      </c>
      <c r="D30" s="68">
        <v>2</v>
      </c>
      <c r="E30" s="69">
        <f t="shared" si="2"/>
        <v>0</v>
      </c>
      <c r="F30" s="70">
        <f t="shared" si="3"/>
        <v>0</v>
      </c>
      <c r="G30" s="70">
        <f t="shared" si="4"/>
        <v>0</v>
      </c>
      <c r="H30" s="71">
        <f t="shared" si="5"/>
        <v>0</v>
      </c>
    </row>
    <row r="31" spans="2:8" ht="15" customHeight="1" x14ac:dyDescent="0.2">
      <c r="B31" s="100" t="s">
        <v>75</v>
      </c>
      <c r="C31" s="111">
        <f>'Superficies y Valores'!K26</f>
        <v>131</v>
      </c>
      <c r="D31" s="68">
        <v>2</v>
      </c>
      <c r="E31" s="112">
        <f t="shared" si="2"/>
        <v>262</v>
      </c>
      <c r="F31" s="70">
        <f t="shared" si="3"/>
        <v>2.7026608831099167E-3</v>
      </c>
      <c r="G31" s="70">
        <f t="shared" si="4"/>
        <v>2.8771660574395748E-3</v>
      </c>
      <c r="H31" s="71">
        <f t="shared" si="5"/>
        <v>0.19362944350011088</v>
      </c>
    </row>
    <row r="32" spans="2:8" ht="15" customHeight="1" x14ac:dyDescent="0.2">
      <c r="B32" s="100" t="s">
        <v>76</v>
      </c>
      <c r="C32" s="67">
        <v>100</v>
      </c>
      <c r="D32" s="68">
        <v>1.5</v>
      </c>
      <c r="E32" s="69">
        <f t="shared" si="2"/>
        <v>150</v>
      </c>
      <c r="F32" s="70">
        <f t="shared" si="3"/>
        <v>1.5473249330781966E-3</v>
      </c>
      <c r="G32" s="70">
        <f t="shared" si="4"/>
        <v>1.6472324756333446E-3</v>
      </c>
      <c r="H32" s="71">
        <f t="shared" si="5"/>
        <v>0.11085655162220089</v>
      </c>
    </row>
    <row r="33" spans="1:8" ht="15" customHeight="1" x14ac:dyDescent="0.2">
      <c r="B33" s="100" t="s">
        <v>77</v>
      </c>
      <c r="C33" s="107">
        <v>0</v>
      </c>
      <c r="D33" s="68">
        <v>1</v>
      </c>
      <c r="E33" s="69">
        <f t="shared" si="2"/>
        <v>0</v>
      </c>
      <c r="F33" s="70">
        <f t="shared" si="3"/>
        <v>0</v>
      </c>
      <c r="G33" s="70">
        <f t="shared" si="4"/>
        <v>0</v>
      </c>
      <c r="H33" s="71">
        <f t="shared" si="5"/>
        <v>0</v>
      </c>
    </row>
    <row r="34" spans="1:8" ht="15" customHeight="1" x14ac:dyDescent="0.2">
      <c r="B34" s="100" t="s">
        <v>78</v>
      </c>
      <c r="C34" s="67">
        <v>400</v>
      </c>
      <c r="D34" s="68">
        <v>14</v>
      </c>
      <c r="E34" s="69">
        <f t="shared" si="2"/>
        <v>5600</v>
      </c>
      <c r="F34" s="70">
        <f t="shared" si="3"/>
        <v>5.7766797501586011E-2</v>
      </c>
      <c r="G34" s="70">
        <f t="shared" si="4"/>
        <v>6.1496679090311528E-2</v>
      </c>
      <c r="H34" s="71">
        <f t="shared" si="5"/>
        <v>4.1386445938954992</v>
      </c>
    </row>
    <row r="35" spans="1:8" ht="15" customHeight="1" x14ac:dyDescent="0.2">
      <c r="B35" s="100" t="s">
        <v>79</v>
      </c>
      <c r="C35" s="113">
        <v>0</v>
      </c>
      <c r="D35" s="68">
        <v>2</v>
      </c>
      <c r="E35" s="112">
        <f t="shared" si="2"/>
        <v>0</v>
      </c>
      <c r="F35" s="70">
        <f t="shared" si="3"/>
        <v>0</v>
      </c>
      <c r="G35" s="70">
        <f t="shared" si="4"/>
        <v>0</v>
      </c>
      <c r="H35" s="71">
        <f t="shared" si="5"/>
        <v>0</v>
      </c>
    </row>
    <row r="36" spans="1:8" ht="15" customHeight="1" x14ac:dyDescent="0.2">
      <c r="B36" s="100" t="s">
        <v>80</v>
      </c>
      <c r="C36" s="107">
        <v>0</v>
      </c>
      <c r="D36" s="68">
        <v>5</v>
      </c>
      <c r="E36" s="69">
        <f t="shared" si="2"/>
        <v>0</v>
      </c>
      <c r="F36" s="70">
        <f t="shared" si="3"/>
        <v>0</v>
      </c>
      <c r="G36" s="70">
        <f t="shared" si="4"/>
        <v>0</v>
      </c>
      <c r="H36" s="71">
        <f t="shared" si="5"/>
        <v>0</v>
      </c>
    </row>
    <row r="37" spans="1:8" ht="15" customHeight="1" x14ac:dyDescent="0.2">
      <c r="B37" s="100" t="s">
        <v>81</v>
      </c>
      <c r="C37" s="107">
        <v>0</v>
      </c>
      <c r="D37" s="68">
        <v>5</v>
      </c>
      <c r="E37" s="69">
        <f t="shared" si="2"/>
        <v>0</v>
      </c>
      <c r="F37" s="70">
        <f t="shared" si="3"/>
        <v>0</v>
      </c>
      <c r="G37" s="70">
        <f t="shared" si="4"/>
        <v>0</v>
      </c>
      <c r="H37" s="71">
        <f t="shared" si="5"/>
        <v>0</v>
      </c>
    </row>
    <row r="38" spans="1:8" ht="15" customHeight="1" x14ac:dyDescent="0.2">
      <c r="B38" s="104" t="s">
        <v>82</v>
      </c>
      <c r="C38" s="96">
        <f>SUM(C39:C45)</f>
        <v>200</v>
      </c>
      <c r="D38" s="106"/>
      <c r="E38" s="96">
        <f>SUM(E39:E45)</f>
        <v>400</v>
      </c>
      <c r="F38" s="98">
        <f t="shared" si="3"/>
        <v>4.1261998215418576E-3</v>
      </c>
      <c r="G38" s="98">
        <f>SUM(G39:G45)</f>
        <v>4.3926199350222518E-3</v>
      </c>
      <c r="H38" s="99">
        <f>SUM(H39:H45)</f>
        <v>0.29561747099253566</v>
      </c>
    </row>
    <row r="39" spans="1:8" ht="15" customHeight="1" x14ac:dyDescent="0.2">
      <c r="B39" s="100" t="s">
        <v>83</v>
      </c>
      <c r="C39" s="67">
        <v>200</v>
      </c>
      <c r="D39" s="68">
        <v>2</v>
      </c>
      <c r="E39" s="69">
        <f>C39*D39</f>
        <v>400</v>
      </c>
      <c r="F39" s="70">
        <f t="shared" si="3"/>
        <v>4.1261998215418576E-3</v>
      </c>
      <c r="G39" s="70">
        <f t="shared" ref="G39:G45" si="6">IF($E$70=0,0,E39/$E$70)</f>
        <v>4.3926199350222518E-3</v>
      </c>
      <c r="H39" s="71">
        <f t="shared" ref="H39:H54" si="7">IF($G$2=0,0,E39/$G$2)</f>
        <v>0.29561747099253566</v>
      </c>
    </row>
    <row r="40" spans="1:8" ht="15" customHeight="1" x14ac:dyDescent="0.2">
      <c r="B40" s="100" t="s">
        <v>84</v>
      </c>
      <c r="C40" s="107">
        <v>0</v>
      </c>
      <c r="D40" s="68">
        <v>500</v>
      </c>
      <c r="E40" s="114">
        <v>0</v>
      </c>
      <c r="F40" s="70">
        <f t="shared" si="3"/>
        <v>0</v>
      </c>
      <c r="G40" s="70">
        <f t="shared" si="6"/>
        <v>0</v>
      </c>
      <c r="H40" s="71">
        <f t="shared" si="7"/>
        <v>0</v>
      </c>
    </row>
    <row r="41" spans="1:8" ht="15" customHeight="1" x14ac:dyDescent="0.2">
      <c r="B41" s="100" t="s">
        <v>85</v>
      </c>
      <c r="C41" s="67">
        <v>0</v>
      </c>
      <c r="D41" s="115">
        <v>0</v>
      </c>
      <c r="E41" s="114">
        <v>0</v>
      </c>
      <c r="F41" s="70">
        <f t="shared" si="3"/>
        <v>0</v>
      </c>
      <c r="G41" s="70">
        <f t="shared" si="6"/>
        <v>0</v>
      </c>
      <c r="H41" s="71">
        <f t="shared" si="7"/>
        <v>0</v>
      </c>
    </row>
    <row r="42" spans="1:8" ht="15" customHeight="1" x14ac:dyDescent="0.2">
      <c r="B42" s="100" t="s">
        <v>86</v>
      </c>
      <c r="C42" s="67">
        <v>0</v>
      </c>
      <c r="D42" s="115">
        <v>0</v>
      </c>
      <c r="E42" s="114">
        <v>0</v>
      </c>
      <c r="F42" s="70">
        <f t="shared" si="3"/>
        <v>0</v>
      </c>
      <c r="G42" s="70">
        <f t="shared" si="6"/>
        <v>0</v>
      </c>
      <c r="H42" s="71">
        <f t="shared" si="7"/>
        <v>0</v>
      </c>
    </row>
    <row r="43" spans="1:8" ht="15" customHeight="1" x14ac:dyDescent="0.2">
      <c r="B43" s="100" t="s">
        <v>87</v>
      </c>
      <c r="C43" s="107">
        <v>0</v>
      </c>
      <c r="D43" s="68">
        <v>1000</v>
      </c>
      <c r="E43" s="114">
        <v>0</v>
      </c>
      <c r="F43" s="70">
        <f t="shared" si="3"/>
        <v>0</v>
      </c>
      <c r="G43" s="70">
        <f t="shared" si="6"/>
        <v>0</v>
      </c>
      <c r="H43" s="71">
        <f t="shared" si="7"/>
        <v>0</v>
      </c>
    </row>
    <row r="44" spans="1:8" ht="15" customHeight="1" x14ac:dyDescent="0.2">
      <c r="B44" s="100" t="s">
        <v>88</v>
      </c>
      <c r="C44" s="107">
        <v>0</v>
      </c>
      <c r="D44" s="68">
        <v>2000</v>
      </c>
      <c r="E44" s="114">
        <v>0</v>
      </c>
      <c r="F44" s="70">
        <f t="shared" si="3"/>
        <v>0</v>
      </c>
      <c r="G44" s="70">
        <f t="shared" si="6"/>
        <v>0</v>
      </c>
      <c r="H44" s="71">
        <f t="shared" si="7"/>
        <v>0</v>
      </c>
    </row>
    <row r="45" spans="1:8" ht="15" customHeight="1" x14ac:dyDescent="0.2">
      <c r="B45" s="100" t="s">
        <v>89</v>
      </c>
      <c r="C45" s="107">
        <v>0</v>
      </c>
      <c r="D45" s="115">
        <v>0</v>
      </c>
      <c r="E45" s="114">
        <v>0</v>
      </c>
      <c r="F45" s="70">
        <f t="shared" si="3"/>
        <v>0</v>
      </c>
      <c r="G45" s="70">
        <f t="shared" si="6"/>
        <v>0</v>
      </c>
      <c r="H45" s="71">
        <f t="shared" si="7"/>
        <v>0</v>
      </c>
    </row>
    <row r="46" spans="1:8" ht="15" customHeight="1" x14ac:dyDescent="0.2">
      <c r="A46" s="60" t="s">
        <v>90</v>
      </c>
      <c r="B46" s="61"/>
      <c r="C46" s="116"/>
      <c r="D46" s="61"/>
      <c r="E46" s="62">
        <f>SUM(E47:E54)</f>
        <v>7869.003999999999</v>
      </c>
      <c r="F46" s="64">
        <f t="shared" si="3"/>
        <v>8.1172707251280396E-2</v>
      </c>
      <c r="G46" s="61">
        <f>IF(E70=0,0,E46/E70)</f>
        <v>8.6413859597924594E-2</v>
      </c>
      <c r="H46" s="65">
        <f t="shared" si="7"/>
        <v>5.8155376542753672</v>
      </c>
    </row>
    <row r="47" spans="1:8" ht="15" customHeight="1" x14ac:dyDescent="0.2">
      <c r="B47" s="66" t="s">
        <v>91</v>
      </c>
      <c r="C47" s="117">
        <f>C11</f>
        <v>1838.7</v>
      </c>
      <c r="D47" s="118">
        <v>0.77</v>
      </c>
      <c r="E47" s="69">
        <f>C47*D47</f>
        <v>1415.799</v>
      </c>
      <c r="F47" s="70">
        <f t="shared" si="3"/>
        <v>1.4604673952847851E-2</v>
      </c>
      <c r="G47" s="70">
        <f>IF(E70=0,0,E47/E70)</f>
        <v>1.5547667278461423E-2</v>
      </c>
      <c r="H47" s="71">
        <f t="shared" si="7"/>
        <v>1.0463372995344025</v>
      </c>
    </row>
    <row r="48" spans="1:8" ht="15" customHeight="1" x14ac:dyDescent="0.2">
      <c r="B48" s="66" t="s">
        <v>92</v>
      </c>
      <c r="C48" s="67">
        <f>C47</f>
        <v>1838.7</v>
      </c>
      <c r="D48" s="118">
        <v>0.15</v>
      </c>
      <c r="E48" s="69">
        <f>C48*D48</f>
        <v>275.80500000000001</v>
      </c>
      <c r="F48" s="70">
        <f t="shared" si="3"/>
        <v>2.8450663544508804E-3</v>
      </c>
      <c r="G48" s="70">
        <f>IF(E70=0,0,E48/E70)</f>
        <v>3.0287663529470306E-3</v>
      </c>
      <c r="H48" s="71">
        <f t="shared" si="7"/>
        <v>0.20383194146774075</v>
      </c>
    </row>
    <row r="49" spans="1:8" ht="15" customHeight="1" x14ac:dyDescent="0.2">
      <c r="B49" s="66" t="s">
        <v>93</v>
      </c>
      <c r="C49" s="67">
        <f>C47</f>
        <v>1838.7</v>
      </c>
      <c r="D49" s="118">
        <v>0.5</v>
      </c>
      <c r="E49" s="69">
        <f>C49*D49</f>
        <v>919.35</v>
      </c>
      <c r="F49" s="70">
        <f t="shared" si="3"/>
        <v>9.4835545148362673E-3</v>
      </c>
      <c r="G49" s="70">
        <f>IF(E70=0,0,E49/E70)</f>
        <v>1.0095887843156768E-2</v>
      </c>
      <c r="H49" s="71">
        <f t="shared" si="7"/>
        <v>0.67943980489246925</v>
      </c>
    </row>
    <row r="50" spans="1:8" ht="15" customHeight="1" x14ac:dyDescent="0.2">
      <c r="B50" s="66" t="s">
        <v>94</v>
      </c>
      <c r="C50" s="67">
        <v>1</v>
      </c>
      <c r="D50" s="119">
        <v>0</v>
      </c>
      <c r="E50" s="114">
        <v>0</v>
      </c>
      <c r="F50" s="70">
        <f t="shared" si="3"/>
        <v>0</v>
      </c>
      <c r="G50" s="70">
        <f>IF(E70=0,0,E50/E70)</f>
        <v>0</v>
      </c>
      <c r="H50" s="71">
        <f t="shared" si="7"/>
        <v>0</v>
      </c>
    </row>
    <row r="51" spans="1:8" ht="15" customHeight="1" x14ac:dyDescent="0.2">
      <c r="B51" s="66" t="s">
        <v>95</v>
      </c>
      <c r="C51" s="67">
        <v>20</v>
      </c>
      <c r="D51" s="118">
        <v>95</v>
      </c>
      <c r="E51" s="69">
        <f>C51*D51</f>
        <v>1900</v>
      </c>
      <c r="F51" s="70">
        <f t="shared" si="3"/>
        <v>1.9599449152323825E-2</v>
      </c>
      <c r="G51" s="70">
        <f>IF(E70=0,0,E51/E70)</f>
        <v>2.0864944691355698E-2</v>
      </c>
      <c r="H51" s="71">
        <f t="shared" si="7"/>
        <v>1.4041829872145444</v>
      </c>
    </row>
    <row r="52" spans="1:8" ht="15" customHeight="1" x14ac:dyDescent="0.2">
      <c r="B52" s="66" t="s">
        <v>96</v>
      </c>
      <c r="C52" s="107">
        <v>1</v>
      </c>
      <c r="D52" s="118">
        <v>600</v>
      </c>
      <c r="E52" s="69">
        <f>C52*D52</f>
        <v>600</v>
      </c>
      <c r="F52" s="70">
        <f t="shared" si="3"/>
        <v>6.1892997323127865E-3</v>
      </c>
      <c r="G52" s="70">
        <f>IF(E70=0,0,E52/E70)</f>
        <v>6.5889299025333782E-3</v>
      </c>
      <c r="H52" s="71">
        <f t="shared" si="7"/>
        <v>0.44342620648880354</v>
      </c>
    </row>
    <row r="53" spans="1:8" ht="15" customHeight="1" x14ac:dyDescent="0.2">
      <c r="B53" s="66" t="s">
        <v>97</v>
      </c>
      <c r="C53" s="67">
        <f>C47</f>
        <v>1838.7</v>
      </c>
      <c r="D53" s="118">
        <v>0.3</v>
      </c>
      <c r="E53" s="69">
        <f>C53*D53</f>
        <v>551.61</v>
      </c>
      <c r="F53" s="70">
        <f t="shared" si="3"/>
        <v>5.6901327089017607E-3</v>
      </c>
      <c r="G53" s="70">
        <f>IF(E70=0,0,E53/E70)</f>
        <v>6.0575327058940611E-3</v>
      </c>
      <c r="H53" s="71">
        <f t="shared" si="7"/>
        <v>0.4076638829354815</v>
      </c>
    </row>
    <row r="54" spans="1:8" ht="15" customHeight="1" x14ac:dyDescent="0.2">
      <c r="B54" s="66" t="s">
        <v>98</v>
      </c>
      <c r="C54" s="67">
        <f>C47</f>
        <v>1838.7</v>
      </c>
      <c r="D54" s="118">
        <v>1.2</v>
      </c>
      <c r="E54" s="69">
        <f>C54*D54</f>
        <v>2206.44</v>
      </c>
      <c r="F54" s="70">
        <f t="shared" si="3"/>
        <v>2.2760530835607043E-2</v>
      </c>
      <c r="G54" s="70">
        <f>IF(E70=0,0,E54/E70)</f>
        <v>2.4230130823576244E-2</v>
      </c>
      <c r="H54" s="71">
        <f t="shared" si="7"/>
        <v>1.630655531741926</v>
      </c>
    </row>
    <row r="55" spans="1:8" ht="15" customHeight="1" x14ac:dyDescent="0.2">
      <c r="A55" s="60" t="s">
        <v>99</v>
      </c>
      <c r="B55" s="61"/>
      <c r="C55" s="61"/>
      <c r="D55" s="61"/>
      <c r="E55" s="62">
        <f>SUM(E56:E64)</f>
        <v>12497.001100000001</v>
      </c>
      <c r="F55" s="64">
        <f>SUM(F56:F64)</f>
        <v>0.128912809271571</v>
      </c>
      <c r="G55" s="120">
        <f>SUM(G56:G64)</f>
        <v>0.13723644039963753</v>
      </c>
      <c r="H55" s="65">
        <f>SUM(H56:H64)</f>
        <v>9.2358296504323416</v>
      </c>
    </row>
    <row r="56" spans="1:8" ht="15" customHeight="1" x14ac:dyDescent="0.2">
      <c r="B56" s="66" t="s">
        <v>100</v>
      </c>
      <c r="C56" s="121">
        <v>4.1700000000000001E-2</v>
      </c>
      <c r="D56" s="66" t="s">
        <v>101</v>
      </c>
      <c r="E56" s="69">
        <f>C56*$E$2</f>
        <v>4042.4605500000002</v>
      </c>
      <c r="F56" s="70">
        <f t="shared" ref="F56:F64" si="8">IF($E$2=0,0,E56/$E$2)</f>
        <v>4.1700000000000001E-2</v>
      </c>
      <c r="G56" s="70">
        <f>IF(E70=0,0,E56/E70)</f>
        <v>4.4392481996177548E-2</v>
      </c>
      <c r="H56" s="71">
        <f t="shared" ref="H56:H64" si="9">IF($G$2=0,0,E56/$G$2)</f>
        <v>2.9875549109452373</v>
      </c>
    </row>
    <row r="57" spans="1:8" ht="15" customHeight="1" x14ac:dyDescent="0.2">
      <c r="B57" s="66" t="s">
        <v>102</v>
      </c>
      <c r="C57" s="121">
        <v>2.3800000000000002E-2</v>
      </c>
      <c r="D57" s="66" t="s">
        <v>101</v>
      </c>
      <c r="E57" s="69">
        <f>C57*$E$2</f>
        <v>2307.2077000000004</v>
      </c>
      <c r="F57" s="70">
        <f t="shared" si="8"/>
        <v>2.3800000000000005E-2</v>
      </c>
      <c r="G57" s="70">
        <f>IF(E70=0,0,E57/E70)</f>
        <v>2.5336716343142104E-2</v>
      </c>
      <c r="H57" s="71">
        <f t="shared" si="9"/>
        <v>1.7051272633212626</v>
      </c>
    </row>
    <row r="58" spans="1:8" ht="15" customHeight="1" x14ac:dyDescent="0.2">
      <c r="B58" s="66" t="s">
        <v>103</v>
      </c>
      <c r="C58" s="121">
        <v>0</v>
      </c>
      <c r="D58" s="66" t="s">
        <v>101</v>
      </c>
      <c r="E58" s="69">
        <f>C58*$E$2</f>
        <v>0</v>
      </c>
      <c r="F58" s="70">
        <f t="shared" si="8"/>
        <v>0</v>
      </c>
      <c r="G58" s="70">
        <f>IF(E70=0,0,E58/E70)</f>
        <v>0</v>
      </c>
      <c r="H58" s="71">
        <f t="shared" si="9"/>
        <v>0</v>
      </c>
    </row>
    <row r="59" spans="1:8" ht="15" customHeight="1" x14ac:dyDescent="0.2">
      <c r="B59" s="66" t="s">
        <v>104</v>
      </c>
      <c r="C59" s="121">
        <v>1.1900000000000001E-2</v>
      </c>
      <c r="D59" s="66" t="s">
        <v>101</v>
      </c>
      <c r="E59" s="69">
        <f>C59*$E$2</f>
        <v>1153.6038500000002</v>
      </c>
      <c r="F59" s="70">
        <f t="shared" si="8"/>
        <v>1.1900000000000003E-2</v>
      </c>
      <c r="G59" s="70">
        <f>IF(E70=0,0,E59/E70)</f>
        <v>1.2668358171571052E-2</v>
      </c>
      <c r="H59" s="71">
        <f t="shared" si="9"/>
        <v>0.85256363166063132</v>
      </c>
    </row>
    <row r="60" spans="1:8" ht="15" customHeight="1" x14ac:dyDescent="0.2">
      <c r="B60" s="66" t="s">
        <v>105</v>
      </c>
      <c r="C60" s="121">
        <v>6.0000000000000001E-3</v>
      </c>
      <c r="D60" s="66" t="s">
        <v>101</v>
      </c>
      <c r="E60" s="69">
        <f>C60*$E$2</f>
        <v>581.649</v>
      </c>
      <c r="F60" s="70">
        <f t="shared" si="8"/>
        <v>6.0000000000000001E-3</v>
      </c>
      <c r="G60" s="70">
        <f>IF(E70=0,0,E60/E70)</f>
        <v>6.3874074814643947E-3</v>
      </c>
      <c r="H60" s="71">
        <f t="shared" si="9"/>
        <v>0.42986401596334345</v>
      </c>
    </row>
    <row r="61" spans="1:8" ht="15" customHeight="1" x14ac:dyDescent="0.2">
      <c r="B61" s="66" t="s">
        <v>106</v>
      </c>
      <c r="E61" s="67">
        <v>214</v>
      </c>
      <c r="F61" s="70">
        <f t="shared" si="8"/>
        <v>2.2075169045248939E-3</v>
      </c>
      <c r="G61" s="122">
        <f>IF(E70=0,0,E61/E70)</f>
        <v>2.3500516652369048E-3</v>
      </c>
      <c r="H61" s="71">
        <f t="shared" si="9"/>
        <v>0.15815534698100658</v>
      </c>
    </row>
    <row r="62" spans="1:8" ht="15" customHeight="1" x14ac:dyDescent="0.2">
      <c r="B62" s="66" t="s">
        <v>107</v>
      </c>
      <c r="C62" s="121">
        <v>2.5000000000000001E-2</v>
      </c>
      <c r="D62" s="66" t="s">
        <v>108</v>
      </c>
      <c r="E62" s="69">
        <f>C62*E10</f>
        <v>1311.9</v>
      </c>
      <c r="F62" s="70">
        <f t="shared" si="8"/>
        <v>1.3532903864701908E-2</v>
      </c>
      <c r="G62" s="70">
        <f>IF(E70=0,0,E62/E70)</f>
        <v>1.4406695231889232E-2</v>
      </c>
      <c r="H62" s="71">
        <f t="shared" si="9"/>
        <v>0.969551400487769</v>
      </c>
    </row>
    <row r="63" spans="1:8" ht="15" customHeight="1" x14ac:dyDescent="0.2">
      <c r="B63" s="66" t="s">
        <v>109</v>
      </c>
      <c r="C63" s="121">
        <v>0.02</v>
      </c>
      <c r="D63" s="66" t="s">
        <v>108</v>
      </c>
      <c r="E63" s="69">
        <f>C63*E10</f>
        <v>1049.52</v>
      </c>
      <c r="F63" s="70">
        <f t="shared" si="8"/>
        <v>1.0826323091761526E-2</v>
      </c>
      <c r="G63" s="70">
        <f>IF(E70=0,0,E63/E70)</f>
        <v>1.1525356185511385E-2</v>
      </c>
      <c r="H63" s="71">
        <f t="shared" si="9"/>
        <v>0.77564112039021516</v>
      </c>
    </row>
    <row r="64" spans="1:8" ht="15" customHeight="1" x14ac:dyDescent="0.2">
      <c r="B64" s="66" t="s">
        <v>89</v>
      </c>
      <c r="C64" s="121">
        <v>3.5000000000000003E-2</v>
      </c>
      <c r="D64" s="66" t="s">
        <v>108</v>
      </c>
      <c r="E64" s="69">
        <f>C64*E10</f>
        <v>1836.66</v>
      </c>
      <c r="F64" s="70">
        <f t="shared" si="8"/>
        <v>1.8946065410582674E-2</v>
      </c>
      <c r="G64" s="70">
        <f>IF(E70=0,0,E64/E70)</f>
        <v>2.0169373324644923E-2</v>
      </c>
      <c r="H64" s="71">
        <f t="shared" si="9"/>
        <v>1.3573719606828765</v>
      </c>
    </row>
    <row r="65" spans="1:8" ht="15" customHeight="1" x14ac:dyDescent="0.2">
      <c r="H65" s="123"/>
    </row>
    <row r="66" spans="1:8" ht="15" customHeight="1" x14ac:dyDescent="0.2">
      <c r="A66" s="60" t="s">
        <v>110</v>
      </c>
      <c r="B66" s="61"/>
      <c r="C66" s="61"/>
      <c r="D66" s="61"/>
      <c r="E66" s="62">
        <f>E4+E10+E46+E55</f>
        <v>84761.505100000009</v>
      </c>
      <c r="F66" s="64">
        <f>IF($E$2=0,0,E66/$E$2)</f>
        <v>0.87435726804309821</v>
      </c>
      <c r="G66" s="64">
        <f>IF(E70=0,0,E66/E70)</f>
        <v>0.93081269256187582</v>
      </c>
      <c r="H66" s="65">
        <f>IF($G$2=0,0,E66/$G$2)</f>
        <v>62.642454437957298</v>
      </c>
    </row>
    <row r="67" spans="1:8" ht="15" customHeight="1" x14ac:dyDescent="0.2">
      <c r="A67" s="124">
        <v>3.5000000000000003E-2</v>
      </c>
      <c r="B67" s="60" t="s">
        <v>111</v>
      </c>
      <c r="C67" s="61"/>
      <c r="D67" s="61"/>
      <c r="E67" s="129">
        <f>E66*A67</f>
        <v>2966.6526785000005</v>
      </c>
      <c r="F67" s="64">
        <f>IF($E$2=0,0,E67/$E$2)</f>
        <v>3.0602504381508442E-2</v>
      </c>
      <c r="G67" s="64">
        <f>IF(E70=0,0,E67/E70)</f>
        <v>3.2578444239665653E-2</v>
      </c>
      <c r="H67" s="65">
        <f>IF($G$2=0,0,E67/$G$2)</f>
        <v>2.1924859053285055</v>
      </c>
    </row>
    <row r="68" spans="1:8" ht="15" customHeight="1" x14ac:dyDescent="0.2">
      <c r="A68" s="60" t="s">
        <v>112</v>
      </c>
      <c r="B68" s="61"/>
      <c r="C68" s="61"/>
      <c r="D68" s="61"/>
      <c r="E68" s="62">
        <f>E66+E67</f>
        <v>87728.157778500012</v>
      </c>
      <c r="F68" s="64">
        <f>IF($E$2=0,0,E68/$E$2)</f>
        <v>0.90495977242460668</v>
      </c>
      <c r="G68" s="64">
        <f>IF(E70=0,0,E68/E70)</f>
        <v>0.96339113680154143</v>
      </c>
      <c r="H68" s="65">
        <f>IF($G$2=0,0,E68/$G$2)</f>
        <v>64.834940343285808</v>
      </c>
    </row>
    <row r="69" spans="1:8" ht="15" customHeight="1" x14ac:dyDescent="0.2">
      <c r="A69" s="72">
        <v>3.7999999999999999E-2</v>
      </c>
      <c r="B69" s="60" t="s">
        <v>113</v>
      </c>
      <c r="C69" s="61"/>
      <c r="D69" s="61"/>
      <c r="E69" s="129">
        <f>E68*A69</f>
        <v>3333.6699955830004</v>
      </c>
      <c r="F69" s="64">
        <f>IF($E$2=0,0,E69/$E$2)</f>
        <v>3.4388471352135054E-2</v>
      </c>
      <c r="G69" s="64">
        <f>IF(E70=0,0,E69/E70)</f>
        <v>3.6608863198458574E-2</v>
      </c>
      <c r="H69" s="65">
        <f>IF($G$2=0,0,E69/$G$2)</f>
        <v>2.4637277330448604</v>
      </c>
    </row>
    <row r="70" spans="1:8" ht="15" customHeight="1" x14ac:dyDescent="0.2">
      <c r="A70" s="60" t="s">
        <v>114</v>
      </c>
      <c r="B70" s="61"/>
      <c r="C70" s="61"/>
      <c r="D70" s="61"/>
      <c r="E70" s="62">
        <f>E68+E69</f>
        <v>91061.827774083009</v>
      </c>
      <c r="F70" s="64">
        <f>IF($E$2=0,0,E70/$E$2)</f>
        <v>0.93934824377674175</v>
      </c>
      <c r="G70" s="64">
        <f>IF(E70=0,0,E70/E70)</f>
        <v>1</v>
      </c>
      <c r="H70" s="65">
        <f>IF($G$2=0,0,E70/$G$2)</f>
        <v>67.298668076330657</v>
      </c>
    </row>
    <row r="73" spans="1:8" ht="15" customHeight="1" x14ac:dyDescent="0.2">
      <c r="A73" s="89" t="s">
        <v>35</v>
      </c>
    </row>
    <row r="74" spans="1:8" ht="15" customHeight="1" x14ac:dyDescent="0.2">
      <c r="A74" s="125" t="s">
        <v>36</v>
      </c>
    </row>
    <row r="75" spans="1:8" ht="15" customHeight="1" x14ac:dyDescent="0.2">
      <c r="A75" s="126" t="s">
        <v>37</v>
      </c>
    </row>
    <row r="76" spans="1:8" ht="15" customHeight="1" x14ac:dyDescent="0.2">
      <c r="A76" s="127" t="s">
        <v>38</v>
      </c>
    </row>
    <row r="77" spans="1:8" ht="15" customHeight="1" x14ac:dyDescent="0.2">
      <c r="A77" s="128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zoomScaleNormal="100" workbookViewId="0">
      <selection activeCell="D19" sqref="D19"/>
    </sheetView>
  </sheetViews>
  <sheetFormatPr baseColWidth="10" defaultColWidth="8.6640625" defaultRowHeight="15" x14ac:dyDescent="0.2"/>
  <cols>
    <col min="1" max="1" width="14.83203125" customWidth="1"/>
    <col min="2" max="2" width="16.5" customWidth="1"/>
    <col min="4" max="4" width="14" customWidth="1"/>
  </cols>
  <sheetData>
    <row r="1" spans="1:4" ht="17.25" customHeight="1" x14ac:dyDescent="0.2">
      <c r="A1" s="1" t="s">
        <v>116</v>
      </c>
    </row>
    <row r="2" spans="1:4" ht="15" customHeight="1" x14ac:dyDescent="0.2">
      <c r="A2" s="11" t="s">
        <v>117</v>
      </c>
    </row>
    <row r="3" spans="1:4" ht="15" customHeight="1" x14ac:dyDescent="0.2">
      <c r="A3" s="2" t="s">
        <v>116</v>
      </c>
    </row>
    <row r="4" spans="1:4" ht="15" customHeight="1" x14ac:dyDescent="0.2">
      <c r="A4" s="14" t="s">
        <v>118</v>
      </c>
    </row>
    <row r="5" spans="1:4" ht="15" customHeight="1" x14ac:dyDescent="0.2">
      <c r="D5" s="15" t="s">
        <v>15</v>
      </c>
    </row>
    <row r="6" spans="1:4" ht="15" customHeight="1" x14ac:dyDescent="0.2">
      <c r="A6" s="7" t="s">
        <v>119</v>
      </c>
      <c r="B6" s="4"/>
      <c r="D6" s="18">
        <f>'Superficies y Valores'!R22</f>
        <v>96941.5</v>
      </c>
    </row>
    <row r="7" spans="1:4" ht="15" customHeight="1" x14ac:dyDescent="0.2">
      <c r="A7" s="7" t="s">
        <v>120</v>
      </c>
      <c r="B7" s="4" t="s">
        <v>121</v>
      </c>
      <c r="D7" s="18">
        <f>'Detalle Costos'!E68</f>
        <v>87728.157778500012</v>
      </c>
    </row>
    <row r="8" spans="1:4" ht="15" customHeight="1" x14ac:dyDescent="0.2">
      <c r="A8" s="7"/>
      <c r="B8" s="4" t="s">
        <v>122</v>
      </c>
      <c r="D8" s="18">
        <f>'Detalle Costos'!E70</f>
        <v>91061.827774083009</v>
      </c>
    </row>
    <row r="9" spans="1:4" ht="15" customHeight="1" x14ac:dyDescent="0.2">
      <c r="A9" s="7"/>
      <c r="B9" s="4"/>
      <c r="D9" s="15"/>
    </row>
    <row r="10" spans="1:4" ht="15" customHeight="1" x14ac:dyDescent="0.2">
      <c r="A10" s="7" t="s">
        <v>123</v>
      </c>
      <c r="B10" s="4" t="s">
        <v>124</v>
      </c>
      <c r="C10" s="130">
        <v>0.2</v>
      </c>
      <c r="D10" s="131">
        <f>D7*C10</f>
        <v>17545.631555700002</v>
      </c>
    </row>
    <row r="11" spans="1:4" ht="15" customHeight="1" x14ac:dyDescent="0.2">
      <c r="A11" s="7"/>
      <c r="B11" s="4" t="s">
        <v>125</v>
      </c>
      <c r="C11" s="130">
        <v>0.7</v>
      </c>
      <c r="D11" s="131">
        <f>C11*'Detalle Costos'!E4</f>
        <v>8343.65</v>
      </c>
    </row>
    <row r="12" spans="1:4" ht="15" customHeight="1" x14ac:dyDescent="0.2">
      <c r="A12" s="7"/>
      <c r="B12" s="4"/>
      <c r="D12" s="15"/>
    </row>
    <row r="13" spans="1:4" ht="15" customHeight="1" x14ac:dyDescent="0.2">
      <c r="A13" s="7" t="s">
        <v>126</v>
      </c>
      <c r="B13" s="4" t="s">
        <v>15</v>
      </c>
      <c r="D13" s="16">
        <f>D6-D8</f>
        <v>5879.672225916991</v>
      </c>
    </row>
    <row r="14" spans="1:4" ht="15" customHeight="1" x14ac:dyDescent="0.2">
      <c r="B14" s="4" t="s">
        <v>127</v>
      </c>
      <c r="D14" s="17">
        <f>IF(D6=0,0,D13/D6)</f>
        <v>6.0651756223258267E-2</v>
      </c>
    </row>
    <row r="15" spans="1:4" ht="15" customHeight="1" x14ac:dyDescent="0.2">
      <c r="B15" s="4" t="s">
        <v>128</v>
      </c>
      <c r="D15" s="17">
        <f>IF(D8=0,0,D13/D8)</f>
        <v>6.4567913577399078E-2</v>
      </c>
    </row>
    <row r="16" spans="1:4" ht="15" customHeight="1" x14ac:dyDescent="0.2">
      <c r="B16" s="4" t="s">
        <v>129</v>
      </c>
      <c r="D16" s="17">
        <f>(D10+D11)/D13</f>
        <v>4.4031844907242803</v>
      </c>
    </row>
    <row r="18" spans="1:4" ht="15" customHeight="1" x14ac:dyDescent="0.2">
      <c r="A18" s="7" t="s">
        <v>130</v>
      </c>
      <c r="B18" s="132" t="s">
        <v>121</v>
      </c>
      <c r="D18" s="133">
        <f>'VAN _ TIR'!G11</f>
        <v>0.13682299158613742</v>
      </c>
    </row>
    <row r="19" spans="1:4" ht="15" customHeight="1" x14ac:dyDescent="0.2">
      <c r="B19" s="132" t="s">
        <v>122</v>
      </c>
      <c r="D19" s="133">
        <f>'VAN _ TIR'!G12</f>
        <v>8.7861618409087017E-2</v>
      </c>
    </row>
    <row r="21" spans="1:4" ht="15" customHeight="1" x14ac:dyDescent="0.2">
      <c r="A21" s="7" t="s">
        <v>35</v>
      </c>
    </row>
    <row r="22" spans="1:4" ht="15" customHeight="1" x14ac:dyDescent="0.2">
      <c r="A22" s="9" t="s">
        <v>36</v>
      </c>
    </row>
    <row r="23" spans="1:4" ht="15" customHeight="1" x14ac:dyDescent="0.2">
      <c r="A23" s="10" t="s">
        <v>37</v>
      </c>
    </row>
    <row r="24" spans="1:4" ht="15" customHeight="1" x14ac:dyDescent="0.2">
      <c r="A24" s="19" t="s">
        <v>38</v>
      </c>
    </row>
    <row r="25" spans="1:4" ht="15" customHeight="1" x14ac:dyDescent="0.2">
      <c r="A25" s="11" t="s">
        <v>131</v>
      </c>
    </row>
    <row r="26" spans="1:4" ht="15" customHeight="1" x14ac:dyDescent="0.2">
      <c r="A26" s="11" t="s">
        <v>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3"/>
  <sheetViews>
    <sheetView workbookViewId="0">
      <selection activeCell="E22" sqref="E22"/>
    </sheetView>
  </sheetViews>
  <sheetFormatPr baseColWidth="10" defaultColWidth="8.83203125" defaultRowHeight="15" x14ac:dyDescent="0.2"/>
  <cols>
    <col min="1" max="1" width="36.6640625" customWidth="1"/>
    <col min="2" max="3" width="13" customWidth="1"/>
    <col min="4" max="4" width="14" customWidth="1"/>
    <col min="5" max="9" width="13" customWidth="1"/>
    <col min="10" max="11" width="14" customWidth="1"/>
    <col min="12" max="12" width="13" customWidth="1"/>
    <col min="13" max="14" width="14" customWidth="1"/>
  </cols>
  <sheetData>
    <row r="1" spans="1:7" ht="17.25" customHeight="1" x14ac:dyDescent="0.2">
      <c r="A1" s="134" t="s">
        <v>133</v>
      </c>
    </row>
    <row r="2" spans="1:7" ht="15" customHeight="1" x14ac:dyDescent="0.2">
      <c r="A2" s="135" t="s">
        <v>134</v>
      </c>
    </row>
    <row r="3" spans="1:7" ht="15" customHeight="1" x14ac:dyDescent="0.2">
      <c r="A3" s="157" t="s">
        <v>135</v>
      </c>
      <c r="B3" s="157"/>
      <c r="C3" s="157"/>
      <c r="D3" s="156"/>
      <c r="E3" s="157" t="s">
        <v>118</v>
      </c>
      <c r="F3" s="157"/>
      <c r="G3" s="157"/>
    </row>
    <row r="4" spans="1:7" ht="13.5" customHeight="1" x14ac:dyDescent="0.2">
      <c r="A4" s="132" t="s">
        <v>136</v>
      </c>
      <c r="C4" s="136">
        <v>0.01</v>
      </c>
    </row>
    <row r="5" spans="1:7" ht="13.5" customHeight="1" x14ac:dyDescent="0.2">
      <c r="A5" s="132" t="s">
        <v>137</v>
      </c>
      <c r="C5" s="137">
        <f>(1+C4)^12-1</f>
        <v>0.12682503013196977</v>
      </c>
      <c r="E5" s="144" t="s">
        <v>175</v>
      </c>
      <c r="G5" s="145">
        <f>K35+NPV(C4,K36:K58)</f>
        <v>566.20065468963548</v>
      </c>
    </row>
    <row r="6" spans="1:7" ht="13.5" customHeight="1" x14ac:dyDescent="0.2">
      <c r="A6" s="132" t="s">
        <v>138</v>
      </c>
      <c r="C6" s="138">
        <v>24</v>
      </c>
      <c r="E6" s="144" t="s">
        <v>176</v>
      </c>
      <c r="G6" s="145">
        <f>N35+NPV(C4,N36:N58)</f>
        <v>-2193.2110642278603</v>
      </c>
    </row>
    <row r="7" spans="1:7" ht="13.5" customHeight="1" x14ac:dyDescent="0.2">
      <c r="A7" s="168" t="s">
        <v>139</v>
      </c>
      <c r="B7" s="169"/>
      <c r="C7" s="171">
        <v>18</v>
      </c>
    </row>
    <row r="8" spans="1:7" ht="13.5" customHeight="1" x14ac:dyDescent="0.2">
      <c r="A8" s="132" t="s">
        <v>140</v>
      </c>
      <c r="C8" s="138">
        <v>3</v>
      </c>
      <c r="E8" s="132" t="s">
        <v>177</v>
      </c>
      <c r="G8" s="146">
        <f>IRR(K35:K58)</f>
        <v>1.0743764362264985E-2</v>
      </c>
    </row>
    <row r="9" spans="1:7" ht="13.5" customHeight="1" x14ac:dyDescent="0.2">
      <c r="A9" s="132" t="s">
        <v>141</v>
      </c>
      <c r="C9" s="138">
        <v>19</v>
      </c>
      <c r="E9" s="132" t="s">
        <v>178</v>
      </c>
      <c r="G9" s="146">
        <f>IRR(N35:N58)</f>
        <v>7.0425119515784562E-3</v>
      </c>
    </row>
    <row r="10" spans="1:7" ht="13.5" customHeight="1" x14ac:dyDescent="0.2">
      <c r="A10" s="168" t="s">
        <v>142</v>
      </c>
      <c r="B10" s="169"/>
      <c r="C10" s="170">
        <v>0.2</v>
      </c>
    </row>
    <row r="11" spans="1:7" ht="13.5" customHeight="1" x14ac:dyDescent="0.2">
      <c r="A11" s="132" t="s">
        <v>143</v>
      </c>
      <c r="C11" s="138">
        <v>0</v>
      </c>
      <c r="E11" s="144" t="s">
        <v>179</v>
      </c>
      <c r="G11" s="147">
        <f>(1+IRR(K35:K58))^12-1</f>
        <v>0.13682299158613742</v>
      </c>
    </row>
    <row r="12" spans="1:7" ht="13.5" customHeight="1" x14ac:dyDescent="0.2">
      <c r="A12" s="132" t="s">
        <v>144</v>
      </c>
      <c r="C12" s="138">
        <v>4</v>
      </c>
      <c r="E12" s="144" t="s">
        <v>180</v>
      </c>
      <c r="G12" s="147">
        <f>(1+IRR(N35:N58))^12-1</f>
        <v>8.7861618409087017E-2</v>
      </c>
    </row>
    <row r="13" spans="1:7" ht="6" customHeight="1" x14ac:dyDescent="0.2"/>
    <row r="14" spans="1:7" ht="15" customHeight="1" x14ac:dyDescent="0.2">
      <c r="A14" s="157" t="s">
        <v>145</v>
      </c>
      <c r="B14" s="157"/>
      <c r="C14" s="157"/>
      <c r="D14" s="156"/>
      <c r="E14" s="148" t="s">
        <v>181</v>
      </c>
    </row>
    <row r="15" spans="1:7" ht="13.5" customHeight="1" x14ac:dyDescent="0.2">
      <c r="A15" s="132" t="s">
        <v>146</v>
      </c>
      <c r="B15" s="158" t="s">
        <v>15</v>
      </c>
      <c r="C15" s="139">
        <f>'Superficies y Valores'!R22</f>
        <v>96941.5</v>
      </c>
    </row>
    <row r="16" spans="1:7" ht="13.5" customHeight="1" x14ac:dyDescent="0.2">
      <c r="A16" s="132" t="s">
        <v>147</v>
      </c>
      <c r="B16" s="158" t="s">
        <v>15</v>
      </c>
      <c r="C16" s="139">
        <f>'Detalle Costos'!E4</f>
        <v>11919.5</v>
      </c>
    </row>
    <row r="17" spans="1:4" ht="13.5" customHeight="1" x14ac:dyDescent="0.2">
      <c r="A17" s="132" t="s">
        <v>148</v>
      </c>
      <c r="B17" s="158" t="s">
        <v>15</v>
      </c>
      <c r="C17" s="139">
        <f>'Detalle Costos'!E10</f>
        <v>52476</v>
      </c>
    </row>
    <row r="18" spans="1:4" ht="13.5" customHeight="1" x14ac:dyDescent="0.2">
      <c r="A18" s="132" t="s">
        <v>149</v>
      </c>
      <c r="B18" s="158" t="s">
        <v>15</v>
      </c>
      <c r="C18" s="139">
        <f>'Detalle Costos'!E46</f>
        <v>7869.003999999999</v>
      </c>
    </row>
    <row r="19" spans="1:4" ht="13.5" customHeight="1" x14ac:dyDescent="0.2">
      <c r="A19" s="132" t="s">
        <v>150</v>
      </c>
      <c r="B19" s="158" t="s">
        <v>15</v>
      </c>
      <c r="C19" s="139">
        <f>'Detalle Costos'!E55</f>
        <v>12497.001100000001</v>
      </c>
    </row>
    <row r="20" spans="1:4" ht="13.5" customHeight="1" x14ac:dyDescent="0.2">
      <c r="A20" s="132" t="s">
        <v>151</v>
      </c>
      <c r="B20" s="158" t="s">
        <v>15</v>
      </c>
      <c r="C20" s="139">
        <f>'Detalle Costos'!E67</f>
        <v>2966.6526785000005</v>
      </c>
    </row>
    <row r="21" spans="1:4" ht="13.5" customHeight="1" x14ac:dyDescent="0.2">
      <c r="A21" s="132" t="s">
        <v>152</v>
      </c>
      <c r="B21" s="158" t="s">
        <v>15</v>
      </c>
      <c r="C21" s="139">
        <f>'Detalle Costos'!E69</f>
        <v>3333.6699955830004</v>
      </c>
    </row>
    <row r="22" spans="1:4" ht="13.5" customHeight="1" x14ac:dyDescent="0.2">
      <c r="A22" s="132" t="s">
        <v>153</v>
      </c>
      <c r="B22" s="158" t="s">
        <v>15</v>
      </c>
      <c r="C22" s="139">
        <f>'Detalle Costos'!E68</f>
        <v>87728.157778500012</v>
      </c>
    </row>
    <row r="23" spans="1:4" ht="13.5" customHeight="1" x14ac:dyDescent="0.2">
      <c r="A23" s="132" t="s">
        <v>154</v>
      </c>
      <c r="B23" s="158" t="s">
        <v>15</v>
      </c>
      <c r="C23" s="139">
        <f>'Detalle Costos'!E70</f>
        <v>91061.827774083009</v>
      </c>
    </row>
    <row r="24" spans="1:4" ht="6" customHeight="1" x14ac:dyDescent="0.2"/>
    <row r="25" spans="1:4" ht="15" customHeight="1" x14ac:dyDescent="0.2">
      <c r="A25" s="157" t="s">
        <v>155</v>
      </c>
      <c r="B25" s="157"/>
      <c r="C25" s="157"/>
      <c r="D25" s="156"/>
    </row>
    <row r="26" spans="1:4" ht="13" customHeight="1" x14ac:dyDescent="0.2">
      <c r="A26" s="140" t="s">
        <v>156</v>
      </c>
    </row>
    <row r="27" spans="1:4" ht="13" customHeight="1" x14ac:dyDescent="0.2">
      <c r="A27" s="140" t="s">
        <v>157</v>
      </c>
    </row>
    <row r="28" spans="1:4" ht="13" customHeight="1" x14ac:dyDescent="0.2">
      <c r="A28" s="140" t="s">
        <v>158</v>
      </c>
    </row>
    <row r="29" spans="1:4" ht="13" customHeight="1" x14ac:dyDescent="0.2">
      <c r="A29" s="140" t="s">
        <v>159</v>
      </c>
    </row>
    <row r="30" spans="1:4" ht="13" customHeight="1" x14ac:dyDescent="0.2">
      <c r="A30" s="140" t="s">
        <v>160</v>
      </c>
    </row>
    <row r="31" spans="1:4" ht="13" customHeight="1" x14ac:dyDescent="0.2">
      <c r="A31" s="140" t="s">
        <v>161</v>
      </c>
    </row>
    <row r="32" spans="1:4" ht="13" customHeight="1" x14ac:dyDescent="0.2">
      <c r="A32" s="140" t="s">
        <v>162</v>
      </c>
    </row>
    <row r="33" spans="1:14" ht="15" customHeight="1" x14ac:dyDescent="0.2">
      <c r="A33" s="154" t="s">
        <v>163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</row>
    <row r="34" spans="1:14" ht="32.25" customHeight="1" x14ac:dyDescent="0.2">
      <c r="A34" s="159" t="s">
        <v>164</v>
      </c>
      <c r="B34" s="141" t="s">
        <v>165</v>
      </c>
      <c r="C34" s="141" t="s">
        <v>166</v>
      </c>
      <c r="D34" s="141" t="s">
        <v>167</v>
      </c>
      <c r="E34" s="161" t="s">
        <v>49</v>
      </c>
      <c r="F34" s="161" t="s">
        <v>168</v>
      </c>
      <c r="G34" s="161" t="s">
        <v>169</v>
      </c>
      <c r="H34" s="161" t="s">
        <v>170</v>
      </c>
      <c r="I34" s="161" t="s">
        <v>151</v>
      </c>
      <c r="J34" s="161" t="s">
        <v>171</v>
      </c>
      <c r="K34" s="141" t="s">
        <v>172</v>
      </c>
      <c r="L34" s="141" t="s">
        <v>152</v>
      </c>
      <c r="M34" s="141" t="s">
        <v>173</v>
      </c>
      <c r="N34" s="141" t="s">
        <v>174</v>
      </c>
    </row>
    <row r="35" spans="1:14" ht="13" customHeight="1" x14ac:dyDescent="0.2">
      <c r="A35" s="142">
        <v>0</v>
      </c>
      <c r="B35" s="162">
        <f t="shared" ref="B35:B58" si="0">IF(AND($A35&gt;=$C$8,$A35&lt;=$C$9-1),$C$15*$C$10/($C$9-$C$8),0)</f>
        <v>0</v>
      </c>
      <c r="C35" s="162">
        <f t="shared" ref="C35:C58" si="1">IF($A35=$C$9,$C$15*(1-$C$10),0)</f>
        <v>0</v>
      </c>
      <c r="D35" s="163">
        <f t="shared" ref="D35:D58" si="2">B35+C35</f>
        <v>0</v>
      </c>
      <c r="E35" s="162">
        <f t="shared" ref="E35:E58" si="3">IF($A35=0,$C$16,0)</f>
        <v>11919.5</v>
      </c>
      <c r="F35" s="162">
        <f t="shared" ref="F35:F58" si="4">IF(AND($A35&gt;=1,$A35&lt;=$C$7),$C$17/$C$7,0)</f>
        <v>0</v>
      </c>
      <c r="G35" s="162">
        <f t="shared" ref="G35:G58" si="5">IF(AND($A35&gt;=$C$11,$A35&lt;=$C$12),$C$18/($C$12-$C$11+1),0)</f>
        <v>1573.8007999999998</v>
      </c>
      <c r="H35" s="162">
        <f t="shared" ref="H35:H58" si="6">IF(AND($A35&gt;=$C$8,$A35&lt;=$C$9),$C$19/($C$9-$C$8+1),0)</f>
        <v>0</v>
      </c>
      <c r="I35" s="162">
        <f t="shared" ref="I35:I58" si="7">IF($A35=$C$9,$C$20,0)</f>
        <v>0</v>
      </c>
      <c r="J35" s="163">
        <f t="shared" ref="J35:J58" si="8">E35+F35+G35+H35+I35</f>
        <v>13493.300799999999</v>
      </c>
      <c r="K35" s="163">
        <f t="shared" ref="K35:K58" si="9">D35-J35</f>
        <v>-13493.300799999999</v>
      </c>
      <c r="L35" s="162">
        <f t="shared" ref="L35:L58" si="10">IF($A35=$C$9,$C$21,0)</f>
        <v>0</v>
      </c>
      <c r="M35" s="163">
        <f t="shared" ref="M35:M58" si="11">J35+L35</f>
        <v>13493.300799999999</v>
      </c>
      <c r="N35" s="163">
        <f t="shared" ref="N35:N58" si="12">D35-M35</f>
        <v>-13493.300799999999</v>
      </c>
    </row>
    <row r="36" spans="1:14" ht="13" customHeight="1" x14ac:dyDescent="0.2">
      <c r="A36" s="142">
        <v>1</v>
      </c>
      <c r="B36" s="162">
        <f t="shared" si="0"/>
        <v>0</v>
      </c>
      <c r="C36" s="162">
        <f t="shared" si="1"/>
        <v>0</v>
      </c>
      <c r="D36" s="163">
        <f t="shared" si="2"/>
        <v>0</v>
      </c>
      <c r="E36" s="162">
        <f t="shared" si="3"/>
        <v>0</v>
      </c>
      <c r="F36" s="162">
        <f t="shared" si="4"/>
        <v>2915.3333333333335</v>
      </c>
      <c r="G36" s="162">
        <f t="shared" si="5"/>
        <v>1573.8007999999998</v>
      </c>
      <c r="H36" s="162">
        <f t="shared" si="6"/>
        <v>0</v>
      </c>
      <c r="I36" s="162">
        <f t="shared" si="7"/>
        <v>0</v>
      </c>
      <c r="J36" s="163">
        <f t="shared" si="8"/>
        <v>4489.134133333333</v>
      </c>
      <c r="K36" s="163">
        <f t="shared" si="9"/>
        <v>-4489.134133333333</v>
      </c>
      <c r="L36" s="162">
        <f t="shared" si="10"/>
        <v>0</v>
      </c>
      <c r="M36" s="163">
        <f t="shared" si="11"/>
        <v>4489.134133333333</v>
      </c>
      <c r="N36" s="163">
        <f t="shared" si="12"/>
        <v>-4489.134133333333</v>
      </c>
    </row>
    <row r="37" spans="1:14" ht="13" customHeight="1" x14ac:dyDescent="0.2">
      <c r="A37" s="142">
        <v>2</v>
      </c>
      <c r="B37" s="162">
        <f t="shared" si="0"/>
        <v>0</v>
      </c>
      <c r="C37" s="162">
        <f t="shared" si="1"/>
        <v>0</v>
      </c>
      <c r="D37" s="163">
        <f t="shared" si="2"/>
        <v>0</v>
      </c>
      <c r="E37" s="162">
        <f t="shared" si="3"/>
        <v>0</v>
      </c>
      <c r="F37" s="162">
        <f t="shared" si="4"/>
        <v>2915.3333333333335</v>
      </c>
      <c r="G37" s="162">
        <f t="shared" si="5"/>
        <v>1573.8007999999998</v>
      </c>
      <c r="H37" s="162">
        <f t="shared" si="6"/>
        <v>0</v>
      </c>
      <c r="I37" s="162">
        <f t="shared" si="7"/>
        <v>0</v>
      </c>
      <c r="J37" s="163">
        <f t="shared" si="8"/>
        <v>4489.134133333333</v>
      </c>
      <c r="K37" s="163">
        <f t="shared" si="9"/>
        <v>-4489.134133333333</v>
      </c>
      <c r="L37" s="162">
        <f t="shared" si="10"/>
        <v>0</v>
      </c>
      <c r="M37" s="163">
        <f t="shared" si="11"/>
        <v>4489.134133333333</v>
      </c>
      <c r="N37" s="163">
        <f t="shared" si="12"/>
        <v>-4489.134133333333</v>
      </c>
    </row>
    <row r="38" spans="1:14" ht="13" customHeight="1" x14ac:dyDescent="0.2">
      <c r="A38" s="142">
        <v>3</v>
      </c>
      <c r="B38" s="162">
        <f t="shared" si="0"/>
        <v>1211.76875</v>
      </c>
      <c r="C38" s="162">
        <f t="shared" si="1"/>
        <v>0</v>
      </c>
      <c r="D38" s="163">
        <f t="shared" si="2"/>
        <v>1211.76875</v>
      </c>
      <c r="E38" s="162">
        <f t="shared" si="3"/>
        <v>0</v>
      </c>
      <c r="F38" s="162">
        <f t="shared" si="4"/>
        <v>2915.3333333333335</v>
      </c>
      <c r="G38" s="162">
        <f t="shared" si="5"/>
        <v>1573.8007999999998</v>
      </c>
      <c r="H38" s="162">
        <f t="shared" si="6"/>
        <v>735.11771176470597</v>
      </c>
      <c r="I38" s="162">
        <f t="shared" si="7"/>
        <v>0</v>
      </c>
      <c r="J38" s="163">
        <f t="shared" si="8"/>
        <v>5224.2518450980388</v>
      </c>
      <c r="K38" s="163">
        <f t="shared" si="9"/>
        <v>-4012.4830950980386</v>
      </c>
      <c r="L38" s="162">
        <f t="shared" si="10"/>
        <v>0</v>
      </c>
      <c r="M38" s="163">
        <f t="shared" si="11"/>
        <v>5224.2518450980388</v>
      </c>
      <c r="N38" s="163">
        <f t="shared" si="12"/>
        <v>-4012.4830950980386</v>
      </c>
    </row>
    <row r="39" spans="1:14" ht="13" customHeight="1" x14ac:dyDescent="0.2">
      <c r="A39" s="142">
        <v>4</v>
      </c>
      <c r="B39" s="162">
        <f t="shared" si="0"/>
        <v>1211.76875</v>
      </c>
      <c r="C39" s="162">
        <f t="shared" si="1"/>
        <v>0</v>
      </c>
      <c r="D39" s="163">
        <f t="shared" si="2"/>
        <v>1211.76875</v>
      </c>
      <c r="E39" s="162">
        <f t="shared" si="3"/>
        <v>0</v>
      </c>
      <c r="F39" s="162">
        <f t="shared" si="4"/>
        <v>2915.3333333333335</v>
      </c>
      <c r="G39" s="162">
        <f t="shared" si="5"/>
        <v>1573.8007999999998</v>
      </c>
      <c r="H39" s="162">
        <f t="shared" si="6"/>
        <v>735.11771176470597</v>
      </c>
      <c r="I39" s="162">
        <f t="shared" si="7"/>
        <v>0</v>
      </c>
      <c r="J39" s="163">
        <f t="shared" si="8"/>
        <v>5224.2518450980388</v>
      </c>
      <c r="K39" s="163">
        <f t="shared" si="9"/>
        <v>-4012.4830950980386</v>
      </c>
      <c r="L39" s="162">
        <f t="shared" si="10"/>
        <v>0</v>
      </c>
      <c r="M39" s="163">
        <f t="shared" si="11"/>
        <v>5224.2518450980388</v>
      </c>
      <c r="N39" s="163">
        <f t="shared" si="12"/>
        <v>-4012.4830950980386</v>
      </c>
    </row>
    <row r="40" spans="1:14" ht="13" customHeight="1" x14ac:dyDescent="0.2">
      <c r="A40" s="142">
        <v>5</v>
      </c>
      <c r="B40" s="162">
        <f t="shared" si="0"/>
        <v>1211.76875</v>
      </c>
      <c r="C40" s="162">
        <f t="shared" si="1"/>
        <v>0</v>
      </c>
      <c r="D40" s="163">
        <f t="shared" si="2"/>
        <v>1211.76875</v>
      </c>
      <c r="E40" s="162">
        <f t="shared" si="3"/>
        <v>0</v>
      </c>
      <c r="F40" s="162">
        <f t="shared" si="4"/>
        <v>2915.3333333333335</v>
      </c>
      <c r="G40" s="162">
        <f t="shared" si="5"/>
        <v>0</v>
      </c>
      <c r="H40" s="162">
        <f t="shared" si="6"/>
        <v>735.11771176470597</v>
      </c>
      <c r="I40" s="162">
        <f t="shared" si="7"/>
        <v>0</v>
      </c>
      <c r="J40" s="163">
        <f t="shared" si="8"/>
        <v>3650.4510450980397</v>
      </c>
      <c r="K40" s="163">
        <f t="shared" si="9"/>
        <v>-2438.6822950980395</v>
      </c>
      <c r="L40" s="162">
        <f t="shared" si="10"/>
        <v>0</v>
      </c>
      <c r="M40" s="163">
        <f t="shared" si="11"/>
        <v>3650.4510450980397</v>
      </c>
      <c r="N40" s="163">
        <f t="shared" si="12"/>
        <v>-2438.6822950980395</v>
      </c>
    </row>
    <row r="41" spans="1:14" ht="13" customHeight="1" x14ac:dyDescent="0.2">
      <c r="A41" s="143">
        <v>6</v>
      </c>
      <c r="B41" s="164">
        <f t="shared" si="0"/>
        <v>1211.76875</v>
      </c>
      <c r="C41" s="164">
        <f t="shared" si="1"/>
        <v>0</v>
      </c>
      <c r="D41" s="165">
        <f t="shared" si="2"/>
        <v>1211.76875</v>
      </c>
      <c r="E41" s="164">
        <f t="shared" si="3"/>
        <v>0</v>
      </c>
      <c r="F41" s="164">
        <f t="shared" si="4"/>
        <v>2915.3333333333335</v>
      </c>
      <c r="G41" s="164">
        <f t="shared" si="5"/>
        <v>0</v>
      </c>
      <c r="H41" s="164">
        <f t="shared" si="6"/>
        <v>735.11771176470597</v>
      </c>
      <c r="I41" s="164">
        <f t="shared" si="7"/>
        <v>0</v>
      </c>
      <c r="J41" s="165">
        <f t="shared" si="8"/>
        <v>3650.4510450980397</v>
      </c>
      <c r="K41" s="165">
        <f t="shared" si="9"/>
        <v>-2438.6822950980395</v>
      </c>
      <c r="L41" s="164">
        <f t="shared" si="10"/>
        <v>0</v>
      </c>
      <c r="M41" s="165">
        <f t="shared" si="11"/>
        <v>3650.4510450980397</v>
      </c>
      <c r="N41" s="165">
        <f t="shared" si="12"/>
        <v>-2438.6822950980395</v>
      </c>
    </row>
    <row r="42" spans="1:14" ht="13" customHeight="1" x14ac:dyDescent="0.2">
      <c r="A42" s="142">
        <v>7</v>
      </c>
      <c r="B42" s="162">
        <f t="shared" si="0"/>
        <v>1211.76875</v>
      </c>
      <c r="C42" s="162">
        <f t="shared" si="1"/>
        <v>0</v>
      </c>
      <c r="D42" s="163">
        <f t="shared" si="2"/>
        <v>1211.76875</v>
      </c>
      <c r="E42" s="162">
        <f t="shared" si="3"/>
        <v>0</v>
      </c>
      <c r="F42" s="162">
        <f t="shared" si="4"/>
        <v>2915.3333333333335</v>
      </c>
      <c r="G42" s="162">
        <f t="shared" si="5"/>
        <v>0</v>
      </c>
      <c r="H42" s="162">
        <f t="shared" si="6"/>
        <v>735.11771176470597</v>
      </c>
      <c r="I42" s="162">
        <f t="shared" si="7"/>
        <v>0</v>
      </c>
      <c r="J42" s="163">
        <f t="shared" si="8"/>
        <v>3650.4510450980397</v>
      </c>
      <c r="K42" s="163">
        <f t="shared" si="9"/>
        <v>-2438.6822950980395</v>
      </c>
      <c r="L42" s="162">
        <f t="shared" si="10"/>
        <v>0</v>
      </c>
      <c r="M42" s="163">
        <f t="shared" si="11"/>
        <v>3650.4510450980397</v>
      </c>
      <c r="N42" s="163">
        <f t="shared" si="12"/>
        <v>-2438.6822950980395</v>
      </c>
    </row>
    <row r="43" spans="1:14" ht="13" customHeight="1" x14ac:dyDescent="0.2">
      <c r="A43" s="142">
        <v>8</v>
      </c>
      <c r="B43" s="162">
        <f t="shared" si="0"/>
        <v>1211.76875</v>
      </c>
      <c r="C43" s="162">
        <f t="shared" si="1"/>
        <v>0</v>
      </c>
      <c r="D43" s="163">
        <f t="shared" si="2"/>
        <v>1211.76875</v>
      </c>
      <c r="E43" s="162">
        <f t="shared" si="3"/>
        <v>0</v>
      </c>
      <c r="F43" s="162">
        <f t="shared" si="4"/>
        <v>2915.3333333333335</v>
      </c>
      <c r="G43" s="162">
        <f t="shared" si="5"/>
        <v>0</v>
      </c>
      <c r="H43" s="162">
        <f t="shared" si="6"/>
        <v>735.11771176470597</v>
      </c>
      <c r="I43" s="162">
        <f t="shared" si="7"/>
        <v>0</v>
      </c>
      <c r="J43" s="163">
        <f t="shared" si="8"/>
        <v>3650.4510450980397</v>
      </c>
      <c r="K43" s="163">
        <f t="shared" si="9"/>
        <v>-2438.6822950980395</v>
      </c>
      <c r="L43" s="162">
        <f t="shared" si="10"/>
        <v>0</v>
      </c>
      <c r="M43" s="163">
        <f t="shared" si="11"/>
        <v>3650.4510450980397</v>
      </c>
      <c r="N43" s="163">
        <f t="shared" si="12"/>
        <v>-2438.6822950980395</v>
      </c>
    </row>
    <row r="44" spans="1:14" ht="13" customHeight="1" x14ac:dyDescent="0.2">
      <c r="A44" s="142">
        <v>9</v>
      </c>
      <c r="B44" s="162">
        <f t="shared" si="0"/>
        <v>1211.76875</v>
      </c>
      <c r="C44" s="162">
        <f t="shared" si="1"/>
        <v>0</v>
      </c>
      <c r="D44" s="163">
        <f t="shared" si="2"/>
        <v>1211.76875</v>
      </c>
      <c r="E44" s="162">
        <f t="shared" si="3"/>
        <v>0</v>
      </c>
      <c r="F44" s="162">
        <f t="shared" si="4"/>
        <v>2915.3333333333335</v>
      </c>
      <c r="G44" s="162">
        <f t="shared" si="5"/>
        <v>0</v>
      </c>
      <c r="H44" s="162">
        <f t="shared" si="6"/>
        <v>735.11771176470597</v>
      </c>
      <c r="I44" s="162">
        <f t="shared" si="7"/>
        <v>0</v>
      </c>
      <c r="J44" s="163">
        <f t="shared" si="8"/>
        <v>3650.4510450980397</v>
      </c>
      <c r="K44" s="163">
        <f t="shared" si="9"/>
        <v>-2438.6822950980395</v>
      </c>
      <c r="L44" s="162">
        <f t="shared" si="10"/>
        <v>0</v>
      </c>
      <c r="M44" s="163">
        <f t="shared" si="11"/>
        <v>3650.4510450980397</v>
      </c>
      <c r="N44" s="163">
        <f t="shared" si="12"/>
        <v>-2438.6822950980395</v>
      </c>
    </row>
    <row r="45" spans="1:14" ht="13" customHeight="1" x14ac:dyDescent="0.2">
      <c r="A45" s="142">
        <v>10</v>
      </c>
      <c r="B45" s="162">
        <f t="shared" si="0"/>
        <v>1211.76875</v>
      </c>
      <c r="C45" s="162">
        <f t="shared" si="1"/>
        <v>0</v>
      </c>
      <c r="D45" s="163">
        <f t="shared" si="2"/>
        <v>1211.76875</v>
      </c>
      <c r="E45" s="162">
        <f t="shared" si="3"/>
        <v>0</v>
      </c>
      <c r="F45" s="162">
        <f t="shared" si="4"/>
        <v>2915.3333333333335</v>
      </c>
      <c r="G45" s="162">
        <f t="shared" si="5"/>
        <v>0</v>
      </c>
      <c r="H45" s="162">
        <f t="shared" si="6"/>
        <v>735.11771176470597</v>
      </c>
      <c r="I45" s="162">
        <f t="shared" si="7"/>
        <v>0</v>
      </c>
      <c r="J45" s="163">
        <f t="shared" si="8"/>
        <v>3650.4510450980397</v>
      </c>
      <c r="K45" s="163">
        <f t="shared" si="9"/>
        <v>-2438.6822950980395</v>
      </c>
      <c r="L45" s="162">
        <f t="shared" si="10"/>
        <v>0</v>
      </c>
      <c r="M45" s="163">
        <f t="shared" si="11"/>
        <v>3650.4510450980397</v>
      </c>
      <c r="N45" s="163">
        <f t="shared" si="12"/>
        <v>-2438.6822950980395</v>
      </c>
    </row>
    <row r="46" spans="1:14" ht="13" customHeight="1" x14ac:dyDescent="0.2">
      <c r="A46" s="142">
        <v>11</v>
      </c>
      <c r="B46" s="162">
        <f t="shared" si="0"/>
        <v>1211.76875</v>
      </c>
      <c r="C46" s="162">
        <f t="shared" si="1"/>
        <v>0</v>
      </c>
      <c r="D46" s="163">
        <f t="shared" si="2"/>
        <v>1211.76875</v>
      </c>
      <c r="E46" s="162">
        <f t="shared" si="3"/>
        <v>0</v>
      </c>
      <c r="F46" s="162">
        <f t="shared" si="4"/>
        <v>2915.3333333333335</v>
      </c>
      <c r="G46" s="162">
        <f t="shared" si="5"/>
        <v>0</v>
      </c>
      <c r="H46" s="162">
        <f t="shared" si="6"/>
        <v>735.11771176470597</v>
      </c>
      <c r="I46" s="162">
        <f t="shared" si="7"/>
        <v>0</v>
      </c>
      <c r="J46" s="163">
        <f t="shared" si="8"/>
        <v>3650.4510450980397</v>
      </c>
      <c r="K46" s="163">
        <f t="shared" si="9"/>
        <v>-2438.6822950980395</v>
      </c>
      <c r="L46" s="162">
        <f t="shared" si="10"/>
        <v>0</v>
      </c>
      <c r="M46" s="163">
        <f t="shared" si="11"/>
        <v>3650.4510450980397</v>
      </c>
      <c r="N46" s="163">
        <f t="shared" si="12"/>
        <v>-2438.6822950980395</v>
      </c>
    </row>
    <row r="47" spans="1:14" ht="13" customHeight="1" x14ac:dyDescent="0.2">
      <c r="A47" s="143">
        <v>12</v>
      </c>
      <c r="B47" s="164">
        <f t="shared" si="0"/>
        <v>1211.76875</v>
      </c>
      <c r="C47" s="164">
        <f t="shared" si="1"/>
        <v>0</v>
      </c>
      <c r="D47" s="165">
        <f t="shared" si="2"/>
        <v>1211.76875</v>
      </c>
      <c r="E47" s="164">
        <f t="shared" si="3"/>
        <v>0</v>
      </c>
      <c r="F47" s="164">
        <f t="shared" si="4"/>
        <v>2915.3333333333335</v>
      </c>
      <c r="G47" s="164">
        <f t="shared" si="5"/>
        <v>0</v>
      </c>
      <c r="H47" s="164">
        <f t="shared" si="6"/>
        <v>735.11771176470597</v>
      </c>
      <c r="I47" s="164">
        <f t="shared" si="7"/>
        <v>0</v>
      </c>
      <c r="J47" s="165">
        <f t="shared" si="8"/>
        <v>3650.4510450980397</v>
      </c>
      <c r="K47" s="165">
        <f t="shared" si="9"/>
        <v>-2438.6822950980395</v>
      </c>
      <c r="L47" s="164">
        <f t="shared" si="10"/>
        <v>0</v>
      </c>
      <c r="M47" s="165">
        <f t="shared" si="11"/>
        <v>3650.4510450980397</v>
      </c>
      <c r="N47" s="165">
        <f t="shared" si="12"/>
        <v>-2438.6822950980395</v>
      </c>
    </row>
    <row r="48" spans="1:14" ht="13" customHeight="1" x14ac:dyDescent="0.2">
      <c r="A48" s="142">
        <v>13</v>
      </c>
      <c r="B48" s="162">
        <f t="shared" si="0"/>
        <v>1211.76875</v>
      </c>
      <c r="C48" s="162">
        <f t="shared" si="1"/>
        <v>0</v>
      </c>
      <c r="D48" s="163">
        <f t="shared" si="2"/>
        <v>1211.76875</v>
      </c>
      <c r="E48" s="162">
        <f t="shared" si="3"/>
        <v>0</v>
      </c>
      <c r="F48" s="162">
        <f t="shared" si="4"/>
        <v>2915.3333333333335</v>
      </c>
      <c r="G48" s="162">
        <f t="shared" si="5"/>
        <v>0</v>
      </c>
      <c r="H48" s="162">
        <f t="shared" si="6"/>
        <v>735.11771176470597</v>
      </c>
      <c r="I48" s="162">
        <f t="shared" si="7"/>
        <v>0</v>
      </c>
      <c r="J48" s="163">
        <f t="shared" si="8"/>
        <v>3650.4510450980397</v>
      </c>
      <c r="K48" s="163">
        <f t="shared" si="9"/>
        <v>-2438.6822950980395</v>
      </c>
      <c r="L48" s="162">
        <f t="shared" si="10"/>
        <v>0</v>
      </c>
      <c r="M48" s="163">
        <f t="shared" si="11"/>
        <v>3650.4510450980397</v>
      </c>
      <c r="N48" s="163">
        <f t="shared" si="12"/>
        <v>-2438.6822950980395</v>
      </c>
    </row>
    <row r="49" spans="1:14" ht="13" customHeight="1" x14ac:dyDescent="0.2">
      <c r="A49" s="142">
        <v>14</v>
      </c>
      <c r="B49" s="162">
        <f t="shared" si="0"/>
        <v>1211.76875</v>
      </c>
      <c r="C49" s="162">
        <f t="shared" si="1"/>
        <v>0</v>
      </c>
      <c r="D49" s="163">
        <f t="shared" si="2"/>
        <v>1211.76875</v>
      </c>
      <c r="E49" s="162">
        <f t="shared" si="3"/>
        <v>0</v>
      </c>
      <c r="F49" s="162">
        <f t="shared" si="4"/>
        <v>2915.3333333333335</v>
      </c>
      <c r="G49" s="162">
        <f t="shared" si="5"/>
        <v>0</v>
      </c>
      <c r="H49" s="162">
        <f t="shared" si="6"/>
        <v>735.11771176470597</v>
      </c>
      <c r="I49" s="162">
        <f t="shared" si="7"/>
        <v>0</v>
      </c>
      <c r="J49" s="163">
        <f t="shared" si="8"/>
        <v>3650.4510450980397</v>
      </c>
      <c r="K49" s="163">
        <f t="shared" si="9"/>
        <v>-2438.6822950980395</v>
      </c>
      <c r="L49" s="162">
        <f t="shared" si="10"/>
        <v>0</v>
      </c>
      <c r="M49" s="163">
        <f t="shared" si="11"/>
        <v>3650.4510450980397</v>
      </c>
      <c r="N49" s="163">
        <f t="shared" si="12"/>
        <v>-2438.6822950980395</v>
      </c>
    </row>
    <row r="50" spans="1:14" ht="13" customHeight="1" x14ac:dyDescent="0.2">
      <c r="A50" s="142">
        <v>15</v>
      </c>
      <c r="B50" s="162">
        <f t="shared" si="0"/>
        <v>1211.76875</v>
      </c>
      <c r="C50" s="162">
        <f t="shared" si="1"/>
        <v>0</v>
      </c>
      <c r="D50" s="163">
        <f t="shared" si="2"/>
        <v>1211.76875</v>
      </c>
      <c r="E50" s="162">
        <f t="shared" si="3"/>
        <v>0</v>
      </c>
      <c r="F50" s="162">
        <f t="shared" si="4"/>
        <v>2915.3333333333335</v>
      </c>
      <c r="G50" s="162">
        <f t="shared" si="5"/>
        <v>0</v>
      </c>
      <c r="H50" s="162">
        <f t="shared" si="6"/>
        <v>735.11771176470597</v>
      </c>
      <c r="I50" s="162">
        <f t="shared" si="7"/>
        <v>0</v>
      </c>
      <c r="J50" s="163">
        <f t="shared" si="8"/>
        <v>3650.4510450980397</v>
      </c>
      <c r="K50" s="163">
        <f t="shared" si="9"/>
        <v>-2438.6822950980395</v>
      </c>
      <c r="L50" s="162">
        <f t="shared" si="10"/>
        <v>0</v>
      </c>
      <c r="M50" s="163">
        <f t="shared" si="11"/>
        <v>3650.4510450980397</v>
      </c>
      <c r="N50" s="163">
        <f t="shared" si="12"/>
        <v>-2438.6822950980395</v>
      </c>
    </row>
    <row r="51" spans="1:14" ht="13" customHeight="1" x14ac:dyDescent="0.2">
      <c r="A51" s="142">
        <v>16</v>
      </c>
      <c r="B51" s="162">
        <f t="shared" si="0"/>
        <v>1211.76875</v>
      </c>
      <c r="C51" s="162">
        <f t="shared" si="1"/>
        <v>0</v>
      </c>
      <c r="D51" s="163">
        <f t="shared" si="2"/>
        <v>1211.76875</v>
      </c>
      <c r="E51" s="162">
        <f t="shared" si="3"/>
        <v>0</v>
      </c>
      <c r="F51" s="162">
        <f t="shared" si="4"/>
        <v>2915.3333333333335</v>
      </c>
      <c r="G51" s="162">
        <f t="shared" si="5"/>
        <v>0</v>
      </c>
      <c r="H51" s="162">
        <f t="shared" si="6"/>
        <v>735.11771176470597</v>
      </c>
      <c r="I51" s="162">
        <f t="shared" si="7"/>
        <v>0</v>
      </c>
      <c r="J51" s="163">
        <f t="shared" si="8"/>
        <v>3650.4510450980397</v>
      </c>
      <c r="K51" s="163">
        <f t="shared" si="9"/>
        <v>-2438.6822950980395</v>
      </c>
      <c r="L51" s="162">
        <f t="shared" si="10"/>
        <v>0</v>
      </c>
      <c r="M51" s="163">
        <f t="shared" si="11"/>
        <v>3650.4510450980397</v>
      </c>
      <c r="N51" s="163">
        <f t="shared" si="12"/>
        <v>-2438.6822950980395</v>
      </c>
    </row>
    <row r="52" spans="1:14" ht="13" customHeight="1" x14ac:dyDescent="0.2">
      <c r="A52" s="142">
        <v>17</v>
      </c>
      <c r="B52" s="162">
        <f t="shared" si="0"/>
        <v>1211.76875</v>
      </c>
      <c r="C52" s="162">
        <f t="shared" si="1"/>
        <v>0</v>
      </c>
      <c r="D52" s="163">
        <f t="shared" si="2"/>
        <v>1211.76875</v>
      </c>
      <c r="E52" s="162">
        <f t="shared" si="3"/>
        <v>0</v>
      </c>
      <c r="F52" s="162">
        <f t="shared" si="4"/>
        <v>2915.3333333333335</v>
      </c>
      <c r="G52" s="162">
        <f t="shared" si="5"/>
        <v>0</v>
      </c>
      <c r="H52" s="162">
        <f t="shared" si="6"/>
        <v>735.11771176470597</v>
      </c>
      <c r="I52" s="162">
        <f t="shared" si="7"/>
        <v>0</v>
      </c>
      <c r="J52" s="163">
        <f t="shared" si="8"/>
        <v>3650.4510450980397</v>
      </c>
      <c r="K52" s="163">
        <f t="shared" si="9"/>
        <v>-2438.6822950980395</v>
      </c>
      <c r="L52" s="162">
        <f t="shared" si="10"/>
        <v>0</v>
      </c>
      <c r="M52" s="163">
        <f t="shared" si="11"/>
        <v>3650.4510450980397</v>
      </c>
      <c r="N52" s="163">
        <f t="shared" si="12"/>
        <v>-2438.6822950980395</v>
      </c>
    </row>
    <row r="53" spans="1:14" ht="13" customHeight="1" x14ac:dyDescent="0.2">
      <c r="A53" s="143">
        <v>18</v>
      </c>
      <c r="B53" s="164">
        <f t="shared" si="0"/>
        <v>1211.76875</v>
      </c>
      <c r="C53" s="164">
        <f t="shared" si="1"/>
        <v>0</v>
      </c>
      <c r="D53" s="165">
        <f t="shared" si="2"/>
        <v>1211.76875</v>
      </c>
      <c r="E53" s="164">
        <f t="shared" si="3"/>
        <v>0</v>
      </c>
      <c r="F53" s="164">
        <f t="shared" si="4"/>
        <v>2915.3333333333335</v>
      </c>
      <c r="G53" s="164">
        <f t="shared" si="5"/>
        <v>0</v>
      </c>
      <c r="H53" s="164">
        <f t="shared" si="6"/>
        <v>735.11771176470597</v>
      </c>
      <c r="I53" s="164">
        <f t="shared" si="7"/>
        <v>0</v>
      </c>
      <c r="J53" s="165">
        <f t="shared" si="8"/>
        <v>3650.4510450980397</v>
      </c>
      <c r="K53" s="165">
        <f t="shared" si="9"/>
        <v>-2438.6822950980395</v>
      </c>
      <c r="L53" s="164">
        <f t="shared" si="10"/>
        <v>0</v>
      </c>
      <c r="M53" s="165">
        <f t="shared" si="11"/>
        <v>3650.4510450980397</v>
      </c>
      <c r="N53" s="165">
        <f t="shared" si="12"/>
        <v>-2438.6822950980395</v>
      </c>
    </row>
    <row r="54" spans="1:14" ht="13" customHeight="1" x14ac:dyDescent="0.2">
      <c r="A54" s="142">
        <v>19</v>
      </c>
      <c r="B54" s="162">
        <f t="shared" si="0"/>
        <v>0</v>
      </c>
      <c r="C54" s="162">
        <f t="shared" si="1"/>
        <v>77553.2</v>
      </c>
      <c r="D54" s="163">
        <f t="shared" si="2"/>
        <v>77553.2</v>
      </c>
      <c r="E54" s="162">
        <f t="shared" si="3"/>
        <v>0</v>
      </c>
      <c r="F54" s="162">
        <f t="shared" si="4"/>
        <v>0</v>
      </c>
      <c r="G54" s="162">
        <f t="shared" si="5"/>
        <v>0</v>
      </c>
      <c r="H54" s="162">
        <f t="shared" si="6"/>
        <v>735.11771176470597</v>
      </c>
      <c r="I54" s="162">
        <f t="shared" si="7"/>
        <v>2966.6526785000005</v>
      </c>
      <c r="J54" s="163">
        <f t="shared" si="8"/>
        <v>3701.7703902647063</v>
      </c>
      <c r="K54" s="163">
        <f t="shared" si="9"/>
        <v>73851.429609735293</v>
      </c>
      <c r="L54" s="162">
        <f t="shared" si="10"/>
        <v>3333.6699955830004</v>
      </c>
      <c r="M54" s="163">
        <f t="shared" si="11"/>
        <v>7035.4403858477071</v>
      </c>
      <c r="N54" s="163">
        <f t="shared" si="12"/>
        <v>70517.759614152295</v>
      </c>
    </row>
    <row r="55" spans="1:14" ht="13" customHeight="1" x14ac:dyDescent="0.2">
      <c r="A55" s="142">
        <v>20</v>
      </c>
      <c r="B55" s="162">
        <f t="shared" si="0"/>
        <v>0</v>
      </c>
      <c r="C55" s="162">
        <f t="shared" si="1"/>
        <v>0</v>
      </c>
      <c r="D55" s="163">
        <f t="shared" si="2"/>
        <v>0</v>
      </c>
      <c r="E55" s="162">
        <f t="shared" si="3"/>
        <v>0</v>
      </c>
      <c r="F55" s="162">
        <f t="shared" si="4"/>
        <v>0</v>
      </c>
      <c r="G55" s="162">
        <f t="shared" si="5"/>
        <v>0</v>
      </c>
      <c r="H55" s="162">
        <f t="shared" si="6"/>
        <v>0</v>
      </c>
      <c r="I55" s="162">
        <f t="shared" si="7"/>
        <v>0</v>
      </c>
      <c r="J55" s="163">
        <f t="shared" si="8"/>
        <v>0</v>
      </c>
      <c r="K55" s="163">
        <f t="shared" si="9"/>
        <v>0</v>
      </c>
      <c r="L55" s="162">
        <f t="shared" si="10"/>
        <v>0</v>
      </c>
      <c r="M55" s="163">
        <f t="shared" si="11"/>
        <v>0</v>
      </c>
      <c r="N55" s="163">
        <f t="shared" si="12"/>
        <v>0</v>
      </c>
    </row>
    <row r="56" spans="1:14" ht="13" customHeight="1" x14ac:dyDescent="0.2">
      <c r="A56" s="142">
        <v>21</v>
      </c>
      <c r="B56" s="162">
        <f t="shared" si="0"/>
        <v>0</v>
      </c>
      <c r="C56" s="162">
        <f t="shared" si="1"/>
        <v>0</v>
      </c>
      <c r="D56" s="163">
        <f t="shared" si="2"/>
        <v>0</v>
      </c>
      <c r="E56" s="162">
        <f t="shared" si="3"/>
        <v>0</v>
      </c>
      <c r="F56" s="162">
        <f t="shared" si="4"/>
        <v>0</v>
      </c>
      <c r="G56" s="162">
        <f t="shared" si="5"/>
        <v>0</v>
      </c>
      <c r="H56" s="162">
        <f t="shared" si="6"/>
        <v>0</v>
      </c>
      <c r="I56" s="162">
        <f t="shared" si="7"/>
        <v>0</v>
      </c>
      <c r="J56" s="163">
        <f t="shared" si="8"/>
        <v>0</v>
      </c>
      <c r="K56" s="163">
        <f t="shared" si="9"/>
        <v>0</v>
      </c>
      <c r="L56" s="162">
        <f t="shared" si="10"/>
        <v>0</v>
      </c>
      <c r="M56" s="163">
        <f t="shared" si="11"/>
        <v>0</v>
      </c>
      <c r="N56" s="163">
        <f t="shared" si="12"/>
        <v>0</v>
      </c>
    </row>
    <row r="57" spans="1:14" ht="13" customHeight="1" x14ac:dyDescent="0.2">
      <c r="A57" s="142">
        <v>22</v>
      </c>
      <c r="B57" s="162">
        <f t="shared" si="0"/>
        <v>0</v>
      </c>
      <c r="C57" s="162">
        <f t="shared" si="1"/>
        <v>0</v>
      </c>
      <c r="D57" s="163">
        <f t="shared" si="2"/>
        <v>0</v>
      </c>
      <c r="E57" s="162">
        <f t="shared" si="3"/>
        <v>0</v>
      </c>
      <c r="F57" s="162">
        <f t="shared" si="4"/>
        <v>0</v>
      </c>
      <c r="G57" s="162">
        <f t="shared" si="5"/>
        <v>0</v>
      </c>
      <c r="H57" s="162">
        <f t="shared" si="6"/>
        <v>0</v>
      </c>
      <c r="I57" s="162">
        <f t="shared" si="7"/>
        <v>0</v>
      </c>
      <c r="J57" s="163">
        <f t="shared" si="8"/>
        <v>0</v>
      </c>
      <c r="K57" s="163">
        <f t="shared" si="9"/>
        <v>0</v>
      </c>
      <c r="L57" s="162">
        <f t="shared" si="10"/>
        <v>0</v>
      </c>
      <c r="M57" s="163">
        <f t="shared" si="11"/>
        <v>0</v>
      </c>
      <c r="N57" s="163">
        <f t="shared" si="12"/>
        <v>0</v>
      </c>
    </row>
    <row r="58" spans="1:14" ht="13" customHeight="1" x14ac:dyDescent="0.2">
      <c r="A58" s="160">
        <v>23</v>
      </c>
      <c r="B58" s="166">
        <f t="shared" si="0"/>
        <v>0</v>
      </c>
      <c r="C58" s="166">
        <f t="shared" si="1"/>
        <v>0</v>
      </c>
      <c r="D58" s="167">
        <f t="shared" si="2"/>
        <v>0</v>
      </c>
      <c r="E58" s="166">
        <f t="shared" si="3"/>
        <v>0</v>
      </c>
      <c r="F58" s="166">
        <f t="shared" si="4"/>
        <v>0</v>
      </c>
      <c r="G58" s="166">
        <f t="shared" si="5"/>
        <v>0</v>
      </c>
      <c r="H58" s="166">
        <f t="shared" si="6"/>
        <v>0</v>
      </c>
      <c r="I58" s="166">
        <f t="shared" si="7"/>
        <v>0</v>
      </c>
      <c r="J58" s="167">
        <f t="shared" si="8"/>
        <v>0</v>
      </c>
      <c r="K58" s="167">
        <f t="shared" si="9"/>
        <v>0</v>
      </c>
      <c r="L58" s="166">
        <f t="shared" si="10"/>
        <v>0</v>
      </c>
      <c r="M58" s="167">
        <f t="shared" si="11"/>
        <v>0</v>
      </c>
      <c r="N58" s="167">
        <f t="shared" si="12"/>
        <v>0</v>
      </c>
    </row>
    <row r="60" spans="1:14" x14ac:dyDescent="0.2">
      <c r="A60" s="144" t="s">
        <v>35</v>
      </c>
    </row>
    <row r="61" spans="1:14" ht="13.5" customHeight="1" x14ac:dyDescent="0.2">
      <c r="A61" s="149" t="s">
        <v>36</v>
      </c>
    </row>
    <row r="62" spans="1:14" ht="13.5" customHeight="1" x14ac:dyDescent="0.2">
      <c r="A62" s="150" t="s">
        <v>37</v>
      </c>
    </row>
    <row r="63" spans="1:14" ht="13.5" customHeight="1" x14ac:dyDescent="0.2">
      <c r="A63" s="151" t="s">
        <v>38</v>
      </c>
    </row>
  </sheetData>
  <mergeCells count="5">
    <mergeCell ref="A33:N33"/>
    <mergeCell ref="A3:C3"/>
    <mergeCell ref="A14:C14"/>
    <mergeCell ref="A25:C25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Superficies y Valores</vt:lpstr>
      <vt:lpstr>Detalle Costos</vt:lpstr>
      <vt:lpstr>Resultados</vt:lpstr>
      <vt:lpstr>VAN _ TIR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Daniel Bauza</cp:lastModifiedBy>
  <cp:revision>0</cp:revision>
  <dcterms:created xsi:type="dcterms:W3CDTF">2026-03-09T21:20:07Z</dcterms:created>
  <dcterms:modified xsi:type="dcterms:W3CDTF">2026-03-12T23:13:57Z</dcterms:modified>
  <dc:language>en-US</dc:language>
</cp:coreProperties>
</file>