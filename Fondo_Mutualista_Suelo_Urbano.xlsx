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ámetros" sheetId="1" state="visible" r:id="rId1"/>
    <sheet name="Flujo del Fondo" sheetId="2" state="visible" r:id="rId2"/>
    <sheet name="Análisis de Sensibilidad" sheetId="3" state="visible" r:id="rId3"/>
    <sheet name="Dashboard" sheetId="4" state="visible" r:id="rId4"/>
    <sheet name="Escenarios" sheetId="5" state="visible" r:id="rId5"/>
  </sheets>
  <definedNames>
    <definedName name="n_familias">'Parámetros'!$B$5</definedName>
    <definedName name="cuota_mensual">'Parámetros'!$B$6</definedName>
    <definedName name="tasa_desercion">'Parámetros'!$B$7</definedName>
    <definedName name="familias_sorteo">'Parámetros'!$B$8</definedName>
    <definedName name="precio_terreno">'Parámetros'!$B$10</definedName>
    <definedName name="sup_terreno">'Parámetros'!$B$11</definedName>
    <definedName name="viv_x_terreno">'Parámetros'!$B$12</definedName>
    <definedName name="apreciacion_suelo">'Parámetros'!$B$13</definedName>
    <definedName name="cap2_monto">'Parámetros'!$B$15</definedName>
    <definedName name="cap2_ratio">'Parámetros'!$B$16</definedName>
    <definedName name="cap2_retorno">'Parámetros'!$B$17</definedName>
    <definedName name="plazo_anos">'Parámetros'!$B$18</definedName>
    <definedName name="gracia_meses">'Parámetros'!$B$19</definedName>
    <definedName name="subsidio_uf">'Parámetros'!$B$21</definedName>
    <definedName name="valor_uf">'Parámetros'!$B$22</definedName>
    <definedName name="pct_subsidio">'Parámetros'!$B$23</definedName>
    <definedName name="subsidio_destino">'Parámetros'!$B$24</definedName>
    <definedName name="canon_mensual">'Parámetros'!$B$26</definedName>
    <definedName name="canon_crecimiento">'Parámetros'!$B$27</definedName>
    <definedName name="costo_construccion">'Parámetros'!$B$29</definedName>
    <definedName name="tasa_credito">'Parámetros'!$B$30</definedName>
    <definedName name="plazo_credito">'Parámetros'!$B$31</definedName>
    <definedName name="_xlnm._FilterDatabase" localSheetId="1" hidden="1">'Flujo del Fondo'!$A$3:$Q$3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&quot;x&quot;"/>
    <numFmt numFmtId="166" formatCode="0&quot; terrenos&quot;"/>
    <numFmt numFmtId="167" formatCode="#,##0&quot; familias&quot;"/>
    <numFmt numFmtId="168" formatCode="&quot;$&quot;#,##0"/>
    <numFmt numFmtId="169" formatCode="0.0&quot;x&quot;"/>
    <numFmt numFmtId="170" formatCode="0&quot; meses&quot;"/>
    <numFmt numFmtId="171" formatCode="&quot;$&quot;#,##0;[Rojo]-&quot;$&quot;#,##0"/>
    <numFmt numFmtId="172" formatCode="#,##0.0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3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5"/>
    </font>
    <font>
      <name val="Calibri"/>
      <b val="1"/>
      <color rgb="00FFFFFF"/>
      <sz val="14"/>
    </font>
  </fonts>
  <fills count="22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99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EBF3FF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9B59B6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E9D7F5"/>
      </patternFill>
    </fill>
    <fill>
      <patternFill patternType="solid">
        <fgColor rgb="00833C00"/>
      </patternFill>
    </fill>
    <fill>
      <patternFill patternType="solid">
        <fgColor rgb="00F4CCAC"/>
      </patternFill>
    </fill>
    <fill>
      <patternFill patternType="solid">
        <fgColor rgb="001F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0" fontId="4" fillId="0" borderId="1" pivotButton="0" quotePrefix="0" xfId="0"/>
    <xf numFmtId="3" fontId="4" fillId="7" borderId="1" pivotButton="0" quotePrefix="0" xfId="0"/>
    <xf numFmtId="0" fontId="0" fillId="0" borderId="1" pivotButton="0" quotePrefix="0" xfId="0"/>
    <xf numFmtId="1" fontId="4" fillId="7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" fontId="7" fillId="8" borderId="1" applyAlignment="1" pivotButton="0" quotePrefix="0" xfId="0">
      <alignment horizontal="center" vertical="center" wrapText="1"/>
    </xf>
    <xf numFmtId="1" fontId="7" fillId="8" borderId="1" applyAlignment="1" pivotButton="0" quotePrefix="0" xfId="0">
      <alignment horizontal="right" vertical="center"/>
    </xf>
    <xf numFmtId="3" fontId="7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1" fontId="7" fillId="9" borderId="1" applyAlignment="1" pivotButton="0" quotePrefix="0" xfId="0">
      <alignment horizontal="center" vertical="center" wrapText="1"/>
    </xf>
    <xf numFmtId="1" fontId="7" fillId="9" borderId="1" applyAlignment="1" pivotButton="0" quotePrefix="0" xfId="0">
      <alignment horizontal="right" vertical="center"/>
    </xf>
    <xf numFmtId="3" fontId="7" fillId="9" borderId="1" applyAlignment="1" pivotButton="0" quotePrefix="0" xfId="0">
      <alignment horizontal="right" vertical="center"/>
    </xf>
    <xf numFmtId="3" fontId="8" fillId="9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3" fontId="11" fillId="5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3" fontId="3" fillId="11" borderId="1" applyAlignment="1" pivotButton="0" quotePrefix="0" xfId="0">
      <alignment horizontal="center" vertical="center" wrapText="1"/>
    </xf>
    <xf numFmtId="164" fontId="3" fillId="11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3" fontId="3" fillId="13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167" fontId="1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1" fillId="16" borderId="1" applyAlignment="1" pivotButton="0" quotePrefix="0" xfId="0">
      <alignment horizontal="center" vertical="center" wrapText="1"/>
    </xf>
    <xf numFmtId="169" fontId="1" fillId="16" borderId="1" applyAlignment="1" pivotButton="0" quotePrefix="0" xfId="0">
      <alignment horizontal="center" vertical="center" wrapText="1"/>
    </xf>
    <xf numFmtId="170" fontId="1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165" fontId="1" fillId="17" borderId="1" applyAlignment="1" pivotButton="0" quotePrefix="0" xfId="0">
      <alignment horizontal="center" vertical="center" wrapText="1"/>
    </xf>
    <xf numFmtId="164" fontId="1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168" fontId="1" fillId="19" borderId="1" applyAlignment="1" pivotButton="0" quotePrefix="0" xfId="0">
      <alignment horizontal="center" vertical="center" wrapText="1"/>
    </xf>
    <xf numFmtId="171" fontId="1" fillId="19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9" fillId="0" borderId="0" pivotButton="0" quotePrefix="0" xfId="0"/>
    <xf numFmtId="172" fontId="4" fillId="0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0" fontId="0" fillId="10" borderId="1" pivotButton="0" quotePrefix="0" xfId="0"/>
    <xf numFmtId="0" fontId="0" fillId="12" borderId="1" pivotButton="0" quotePrefix="0" xfId="0"/>
    <xf numFmtId="0" fontId="4" fillId="21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right" vertical="center"/>
    </xf>
    <xf numFmtId="3" fontId="4" fillId="14" borderId="1" applyAlignment="1" pivotButton="0" quotePrefix="0" xfId="0">
      <alignment horizontal="right" vertical="center"/>
    </xf>
    <xf numFmtId="3" fontId="4" fillId="17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164" fontId="4" fillId="14" borderId="1" applyAlignment="1" pivotButton="0" quotePrefix="0" xfId="0">
      <alignment horizontal="right" vertical="center"/>
    </xf>
    <xf numFmtId="164" fontId="4" fillId="17" borderId="1" applyAlignment="1" pivotButton="0" quotePrefix="0" xfId="0">
      <alignment horizontal="right" vertical="center"/>
    </xf>
    <xf numFmtId="49" fontId="9" fillId="2" borderId="1" applyAlignment="1" pivotButton="0" quotePrefix="0" xfId="0">
      <alignment horizontal="center" vertical="center" wrapText="1"/>
    </xf>
    <xf numFmtId="49" fontId="9" fillId="14" borderId="1" applyAlignment="1" pivotButton="0" quotePrefix="0" xfId="0">
      <alignment horizontal="center" vertical="center" wrapText="1"/>
    </xf>
    <xf numFmtId="49" fontId="9" fillId="1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1" fontId="11" fillId="2" borderId="1" applyAlignment="1" pivotButton="0" quotePrefix="0" xfId="0">
      <alignment horizontal="center" vertical="center" wrapText="1"/>
    </xf>
    <xf numFmtId="1" fontId="11" fillId="14" borderId="1" applyAlignment="1" pivotButton="0" quotePrefix="0" xfId="0">
      <alignment horizontal="center" vertical="center" wrapText="1"/>
    </xf>
    <xf numFmtId="1" fontId="11" fillId="17" borderId="1" applyAlignment="1" pivotButton="0" quotePrefix="0" xfId="0">
      <alignment horizontal="center" vertical="center" wrapText="1"/>
    </xf>
    <xf numFmtId="3" fontId="11" fillId="2" borderId="1" applyAlignment="1" pivotButton="0" quotePrefix="0" xfId="0">
      <alignment horizontal="center" vertical="center" wrapText="1"/>
    </xf>
    <xf numFmtId="3" fontId="11" fillId="14" borderId="1" applyAlignment="1" pivotButton="0" quotePrefix="0" xfId="0">
      <alignment horizontal="center" vertical="center" wrapText="1"/>
    </xf>
    <xf numFmtId="3" fontId="11" fillId="17" borderId="1" applyAlignment="1" pivotButton="0" quotePrefix="0" xfId="0">
      <alignment horizontal="center" vertical="center" wrapText="1"/>
    </xf>
    <xf numFmtId="165" fontId="11" fillId="2" borderId="1" applyAlignment="1" pivotButton="0" quotePrefix="0" xfId="0">
      <alignment horizontal="center" vertical="center" wrapText="1"/>
    </xf>
    <xf numFmtId="165" fontId="11" fillId="14" borderId="1" applyAlignment="1" pivotButton="0" quotePrefix="0" xfId="0">
      <alignment horizontal="center" vertical="center" wrapText="1"/>
    </xf>
    <xf numFmtId="165" fontId="11" fillId="1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Evolución del Capital por Capa (millones CLP)</a:t>
            </a:r>
          </a:p>
        </rich>
      </tx>
    </title>
    <plotArea>
      <areaChart>
        <grouping val="stacked"/>
        <ser>
          <idx val="0"/>
          <order val="0"/>
          <tx>
            <v>Capa 1 (Ahorro familiar)</v>
          </tx>
          <spPr>
            <a:ln>
              <a:prstDash val="solid"/>
            </a:ln>
          </spPr>
          <cat>
            <numRef>
              <f>'Dashboard'!$B$37:$B$51</f>
            </numRef>
          </cat>
          <val>
            <numRef>
              <f>'Dashboard'!$C$36:$C$51</f>
            </numRef>
          </val>
        </ser>
        <ser>
          <idx val="1"/>
          <order val="1"/>
          <tx>
            <v>Capa 2 (Capital paciente)</v>
          </tx>
          <spPr>
            <a:ln>
              <a:prstDash val="solid"/>
            </a:ln>
          </spPr>
          <cat>
            <numRef>
              <f>'Dashboard'!$B$37:$B$51</f>
            </numRef>
          </cat>
          <val>
            <numRef>
              <f>'Dashboard'!$D$36:$D$51</f>
            </numRef>
          </val>
        </ser>
        <ser>
          <idx val="2"/>
          <order val="2"/>
          <tx>
            <v>Capa 3 (Subsidio estatal)</v>
          </tx>
          <spPr>
            <a:ln>
              <a:prstDash val="solid"/>
            </a:ln>
          </spPr>
          <cat>
            <numRef>
              <f>'Dashboard'!$B$37:$B$51</f>
            </numRef>
          </cat>
          <val>
            <numRef>
              <f>'Dashboard'!$E$36:$E$51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Millones CLP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Familias Ubicadas vs. En Espera</a:t>
            </a:r>
          </a:p>
        </rich>
      </tx>
    </title>
    <plotArea>
      <lineChart>
        <grouping val="standard"/>
        <ser>
          <idx val="0"/>
          <order val="0"/>
          <tx>
            <v>Familias Ubicadas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'Dashboard'!$B$37:$B$51</f>
            </numRef>
          </cat>
          <val>
            <numRef>
              <f>'Dashboard'!$F$36:$F$51</f>
            </numRef>
          </val>
        </ser>
        <ser>
          <idx val="1"/>
          <order val="1"/>
          <tx>
            <v>Familias en Espera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'Dashboard'!$B$37:$B$51</f>
            </numRef>
          </cat>
          <val>
            <numRef>
              <f>'Dashboard'!$G$36:$G$51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Familias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Terrenos Adquiridos Acumulados por Año</a:t>
            </a:r>
          </a:p>
        </rich>
      </tx>
    </title>
    <plotArea>
      <barChart>
        <barDir val="col"/>
        <grouping val="clustered"/>
        <ser>
          <idx val="0"/>
          <order val="0"/>
          <tx>
            <v>Terrenos Adquiridos</v>
          </tx>
          <spPr>
            <a:ln>
              <a:prstDash val="solid"/>
            </a:ln>
          </spPr>
          <cat>
            <numRef>
              <f>'Dashboard'!$B$37:$B$51</f>
            </numRef>
          </cat>
          <val>
            <numRef>
              <f>'Dashboard'!$H$36:$H$51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Terrenos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Modelo CLT</author>
  </authors>
  <commentList>
    <comment ref="B5" authorId="0" shapeId="0">
      <text>
        <t>Total de familias que ingresan al fondo al inicio del período</t>
      </text>
    </comment>
    <comment ref="B6" authorId="0" shapeId="0">
      <text>
        <t>Monto fijo que cada familia aporta mensualmente al fondo</t>
      </text>
    </comment>
    <comment ref="B7" authorId="0" shapeId="0">
      <text>
        <t>Porcentaje de familias que abandonan el fondo cada año. Ajustado de 10% a 5% para lograr viabilidad en años 3-5</t>
      </text>
    </comment>
    <comment ref="B8" authorId="0" shapeId="0">
      <text>
        <t>Número de familias que acceden al capital en cada sorteo periódico</t>
      </text>
    </comment>
    <comment ref="B10" authorId="0" shapeId="0">
      <text>
        <t>Precio del terreno que aloja a un grupo de familias (viviendas_x_terreno familias)</t>
      </text>
    </comment>
    <comment ref="B12" authorId="0" shapeId="0">
      <text>
        <t>Número de viviendas (familias) que caben en cada terreno adquirido</t>
      </text>
    </comment>
    <comment ref="B13" authorId="0" shapeId="0">
      <text>
        <t>Tasa anual de aumento del precio del suelo. Afecta el costo de terrenos futuros</t>
      </text>
    </comment>
    <comment ref="B15" authorId="0" shapeId="0">
      <text>
        <t>Capital total comprometido por inversores de impacto social (Capa 2)</t>
      </text>
    </comment>
    <comment ref="B16" authorId="0" shapeId="0">
      <text>
        <t>Apalancamiento: por cada peso acumulado en ahorro familiar, el capital paciente aporta X pesos adicionales</t>
      </text>
    </comment>
    <comment ref="B17" authorId="0" shapeId="0">
      <text>
        <t>Tasa de retorno anual que exigen los inversores de Capa 2. Determina el servicio de deuda mensual</t>
      </text>
    </comment>
    <comment ref="B18" authorId="0" shapeId="0">
      <text>
        <t>Horizonte total del modelo = 180 meses</t>
      </text>
    </comment>
    <comment ref="B19" authorId="0" shapeId="0">
      <text>
        <t>Meses iniciales sin cobro de interés sobre el capital paciente desembolsado</t>
      </text>
    </comment>
    <comment ref="B21" authorId="0" shapeId="0">
      <text>
        <t>Subsidio habitacional estatal en UF por familia beneficiaria. Ejemplo: DS-49 tiene ~500 UF, se usa 800 UF para componente suelo</t>
      </text>
    </comment>
    <comment ref="B22" authorId="0" shapeId="0">
      <text>
        <t>Valor de la Unidad de Fomento en CLP. Actualizar según valor vigente del Banco Central de Chile</t>
      </text>
    </comment>
    <comment ref="B23" authorId="0" shapeId="0">
      <text>
        <t>Porcentaje de familias beneficiarias que califican y obtienen el subsidio estatal</t>
      </text>
    </comment>
    <comment ref="B24" authorId="0" shapeId="0">
      <text>
        <t>Fracción del subsidio destinada exclusivamente a la compra de suelo dentro del fideicomiso</t>
      </text>
    </comment>
    <comment ref="B26" authorId="0" shapeId="0">
      <text>
        <t>Monto mensual que paga cada familia residente en CLT por el uso del suelo (no son dueños del suelo)</t>
      </text>
    </comment>
    <comment ref="B27" authorId="0" shapeId="0">
      <text>
        <t>Tasa de reajuste anual del canon, ligada al IPC estimado</t>
      </text>
    </comment>
    <comment ref="B29" authorId="0" shapeId="0">
      <text>
        <t>Costo referencial de construcción por unidad. Se financia vía crédito bancario, NO con fondos del modelo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38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54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tabSelected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35" customWidth="1" min="4" max="4"/>
  </cols>
  <sheetData>
    <row r="1" ht="30" customHeight="1">
      <c r="A1" s="1" t="inlineStr">
        <is>
          <t>FONDO MUTUALISTA DE SUELO URBANO — Parámetros del Modelo</t>
        </is>
      </c>
    </row>
    <row r="2" ht="18" customHeight="1">
      <c r="A2" s="2" t="inlineStr">
        <is>
          <t>Las celdas amarillas son editables. Todos los cálculos se actualizan automáticamente.</t>
        </is>
      </c>
    </row>
    <row r="3" ht="22" customHeight="1">
      <c r="A3" s="3" t="inlineStr">
        <is>
          <t>Parámetro</t>
        </is>
      </c>
      <c r="B3" s="3" t="inlineStr">
        <is>
          <t>Valor</t>
        </is>
      </c>
      <c r="C3" s="3" t="inlineStr">
        <is>
          <t>Unidad</t>
        </is>
      </c>
      <c r="D3" s="3" t="inlineStr">
        <is>
          <t>Nota</t>
        </is>
      </c>
    </row>
    <row r="4" ht="20" customHeight="1">
      <c r="A4" s="4" t="inlineStr">
        <is>
          <t>▌ 1. DEMANDA</t>
        </is>
      </c>
    </row>
    <row r="5" ht="18" customHeight="1">
      <c r="A5" s="5" t="inlineStr">
        <is>
          <t>Número de familias participantes</t>
        </is>
      </c>
      <c r="B5" s="6" t="n">
        <v>500</v>
      </c>
      <c r="C5" s="7" t="inlineStr">
        <is>
          <t>familias</t>
        </is>
      </c>
      <c r="D5" s="8" t="inlineStr">
        <is>
          <t>Base del fondo</t>
        </is>
      </c>
    </row>
    <row r="6" ht="18" customHeight="1">
      <c r="A6" s="5" t="inlineStr">
        <is>
          <t>Cuota mensual por familia</t>
        </is>
      </c>
      <c r="B6" s="9" t="n">
        <v>30000</v>
      </c>
      <c r="C6" s="7" t="inlineStr">
        <is>
          <t>CLP/mes</t>
        </is>
      </c>
      <c r="D6" s="8" t="inlineStr">
        <is>
          <t>Aporte mensual</t>
        </is>
      </c>
    </row>
    <row r="7" ht="18" customHeight="1">
      <c r="A7" s="5" t="inlineStr">
        <is>
          <t>Tasa de deserción anual estimada</t>
        </is>
      </c>
      <c r="B7" s="10" t="n">
        <v>0.05</v>
      </c>
      <c r="C7" s="7" t="inlineStr">
        <is>
          <t>anual</t>
        </is>
      </c>
      <c r="D7" s="8" t="inlineStr">
        <is>
          <t>5% base ajustada</t>
        </is>
      </c>
    </row>
    <row r="8" ht="18" customHeight="1">
      <c r="A8" s="5" t="inlineStr">
        <is>
          <t>Familias por grupo de sorteo</t>
        </is>
      </c>
      <c r="B8" s="6" t="n">
        <v>25</v>
      </c>
      <c r="C8" s="7" t="inlineStr">
        <is>
          <t>familias</t>
        </is>
      </c>
      <c r="D8" s="8" t="inlineStr">
        <is>
          <t>Tamaño lote</t>
        </is>
      </c>
    </row>
    <row r="9" ht="20" customHeight="1">
      <c r="A9" s="4" t="inlineStr">
        <is>
          <t>▌ 2. SUELO</t>
        </is>
      </c>
    </row>
    <row r="10" ht="18" customHeight="1">
      <c r="A10" s="5" t="inlineStr">
        <is>
          <t>Precio promedio terreno objetivo</t>
        </is>
      </c>
      <c r="B10" s="9" t="n">
        <v>120000000</v>
      </c>
      <c r="C10" s="7" t="inlineStr">
        <is>
          <t>CLP</t>
        </is>
      </c>
      <c r="D10" s="8" t="inlineStr">
        <is>
          <t>Por terreno completo</t>
        </is>
      </c>
    </row>
    <row r="11" ht="18" customHeight="1">
      <c r="A11" s="5" t="inlineStr">
        <is>
          <t>Superficie promedio terreno</t>
        </is>
      </c>
      <c r="B11" s="6" t="n">
        <v>1000</v>
      </c>
      <c r="C11" s="7" t="inlineStr">
        <is>
          <t>m²</t>
        </is>
      </c>
      <c r="D11" s="8" t="inlineStr">
        <is>
          <t>Referencial</t>
        </is>
      </c>
    </row>
    <row r="12" ht="18" customHeight="1">
      <c r="A12" s="5" t="inlineStr">
        <is>
          <t>Viviendas por terreno</t>
        </is>
      </c>
      <c r="B12" s="6" t="n">
        <v>25</v>
      </c>
      <c r="C12" s="7" t="inlineStr">
        <is>
          <t>unidades</t>
        </is>
      </c>
      <c r="D12" s="8" t="inlineStr">
        <is>
          <t>Densidad</t>
        </is>
      </c>
    </row>
    <row r="13" ht="18" customHeight="1">
      <c r="A13" s="5" t="inlineStr">
        <is>
          <t>Apreciación anual estimada del suelo</t>
        </is>
      </c>
      <c r="B13" s="10" t="n">
        <v>0.05</v>
      </c>
      <c r="C13" s="7" t="inlineStr">
        <is>
          <t>anual</t>
        </is>
      </c>
      <c r="D13" s="8" t="inlineStr">
        <is>
          <t>Inflación suelo</t>
        </is>
      </c>
    </row>
    <row r="14" ht="20" customHeight="1">
      <c r="A14" s="4" t="inlineStr">
        <is>
          <t>▌ 3. CAPITAL PACIENTE — CAPA 2</t>
        </is>
      </c>
    </row>
    <row r="15" ht="18" customHeight="1">
      <c r="A15" s="5" t="inlineStr">
        <is>
          <t>Monto comprometido total</t>
        </is>
      </c>
      <c r="B15" s="9" t="n">
        <v>500000000</v>
      </c>
      <c r="C15" s="7" t="inlineStr">
        <is>
          <t>CLP</t>
        </is>
      </c>
      <c r="D15" s="8" t="inlineStr">
        <is>
          <t>Capital paciente total</t>
        </is>
      </c>
    </row>
    <row r="16" ht="18" customHeight="1">
      <c r="A16" s="5" t="inlineStr">
        <is>
          <t>Ratio desembolso Capa 2 / Capa 1</t>
        </is>
      </c>
      <c r="B16" s="11" t="n">
        <v>3</v>
      </c>
      <c r="C16" s="7" t="inlineStr">
        <is>
          <t>x</t>
        </is>
      </c>
      <c r="D16" s="8" t="inlineStr">
        <is>
          <t>Por cada 1 CLP de Capa 1, desembolsa X de Capa 2</t>
        </is>
      </c>
    </row>
    <row r="17" ht="18" customHeight="1">
      <c r="A17" s="5" t="inlineStr">
        <is>
          <t>Retorno anual exigido Capa 2</t>
        </is>
      </c>
      <c r="B17" s="10" t="n">
        <v>0.05</v>
      </c>
      <c r="C17" s="7" t="inlineStr">
        <is>
          <t>anual</t>
        </is>
      </c>
      <c r="D17" s="8" t="inlineStr">
        <is>
          <t>Costo capital</t>
        </is>
      </c>
    </row>
    <row r="18" ht="18" customHeight="1">
      <c r="A18" s="5" t="inlineStr">
        <is>
          <t>Plazo del fondo</t>
        </is>
      </c>
      <c r="B18" s="6" t="n">
        <v>15</v>
      </c>
      <c r="C18" s="7" t="inlineStr">
        <is>
          <t>años</t>
        </is>
      </c>
      <c r="D18" s="8" t="inlineStr">
        <is>
          <t>Horizonte total</t>
        </is>
      </c>
    </row>
    <row r="19" ht="18" customHeight="1">
      <c r="A19" s="5" t="inlineStr">
        <is>
          <t>Período de gracia Capa 2</t>
        </is>
      </c>
      <c r="B19" s="6" t="n">
        <v>12</v>
      </c>
      <c r="C19" s="7" t="inlineStr">
        <is>
          <t>meses</t>
        </is>
      </c>
      <c r="D19" s="8" t="inlineStr">
        <is>
          <t>Sin interés inicial</t>
        </is>
      </c>
    </row>
    <row r="20" ht="20" customHeight="1">
      <c r="A20" s="4" t="inlineStr">
        <is>
          <t>▌ 4. SUBSIDIO ESTATAL — CAPA 3</t>
        </is>
      </c>
    </row>
    <row r="21" ht="18" customHeight="1">
      <c r="A21" s="5" t="inlineStr">
        <is>
          <t>Subsidio por familia</t>
        </is>
      </c>
      <c r="B21" s="11" t="n">
        <v>800</v>
      </c>
      <c r="C21" s="7" t="inlineStr">
        <is>
          <t>UF/familia</t>
        </is>
      </c>
      <c r="D21" s="8" t="inlineStr">
        <is>
          <t>Componente suelo</t>
        </is>
      </c>
    </row>
    <row r="22" ht="18" customHeight="1">
      <c r="A22" s="5" t="inlineStr">
        <is>
          <t>Valor UF</t>
        </is>
      </c>
      <c r="B22" s="9" t="n">
        <v>38000</v>
      </c>
      <c r="C22" s="7" t="inlineStr">
        <is>
          <t>CLP/UF</t>
        </is>
      </c>
      <c r="D22" s="8" t="inlineStr">
        <is>
          <t>Actualizar periódicamente</t>
        </is>
      </c>
    </row>
    <row r="23" ht="18" customHeight="1">
      <c r="A23" s="5" t="inlineStr">
        <is>
          <t>% familias que acceden a subsidio</t>
        </is>
      </c>
      <c r="B23" s="10" t="n">
        <v>0.6</v>
      </c>
      <c r="C23" s="7" t="inlineStr">
        <is>
          <t>%</t>
        </is>
      </c>
      <c r="D23" s="8" t="inlineStr">
        <is>
          <t>Cobertura estimada</t>
        </is>
      </c>
    </row>
    <row r="24" ht="18" customHeight="1">
      <c r="A24" s="5" t="inlineStr">
        <is>
          <t>Destino del subsidio</t>
        </is>
      </c>
      <c r="B24" s="10" t="n">
        <v>1</v>
      </c>
      <c r="C24" s="7" t="inlineStr">
        <is>
          <t>%</t>
        </is>
      </c>
      <c r="D24" s="8" t="inlineStr">
        <is>
          <t>100% a suelo CLT</t>
        </is>
      </c>
    </row>
    <row r="25" ht="20" customHeight="1">
      <c r="A25" s="4" t="inlineStr">
        <is>
          <t>▌ 5. CANON DE USO DE SUELO (GROUND LEASE)</t>
        </is>
      </c>
    </row>
    <row r="26" ht="18" customHeight="1">
      <c r="A26" s="5" t="inlineStr">
        <is>
          <t>Canon mensual por familia en CLT</t>
        </is>
      </c>
      <c r="B26" s="9" t="n">
        <v>25000</v>
      </c>
      <c r="C26" s="7" t="inlineStr">
        <is>
          <t>CLP/mes</t>
        </is>
      </c>
      <c r="D26" s="8" t="inlineStr">
        <is>
          <t>Arrendamiento suelo</t>
        </is>
      </c>
    </row>
    <row r="27" ht="18" customHeight="1">
      <c r="A27" s="5" t="inlineStr">
        <is>
          <t>Crecimiento anual del canon (IPC)</t>
        </is>
      </c>
      <c r="B27" s="10" t="n">
        <v>0.03</v>
      </c>
      <c r="C27" s="7" t="inlineStr">
        <is>
          <t>anual</t>
        </is>
      </c>
      <c r="D27" s="8" t="inlineStr">
        <is>
          <t>Indexación IPC</t>
        </is>
      </c>
    </row>
    <row r="28" ht="20" customHeight="1">
      <c r="A28" s="4" t="inlineStr">
        <is>
          <t>▌ 6. CONSTRUCCIÓN (referencial — no parte del fondo de suelo)</t>
        </is>
      </c>
    </row>
    <row r="29" ht="18" customHeight="1">
      <c r="A29" s="5" t="inlineStr">
        <is>
          <t>Costo construcción por vivienda</t>
        </is>
      </c>
      <c r="B29" s="11" t="n">
        <v>1200</v>
      </c>
      <c r="C29" s="7" t="inlineStr">
        <is>
          <t>UF/vivienda</t>
        </is>
      </c>
      <c r="D29" s="8" t="inlineStr">
        <is>
          <t>Referencial mercado</t>
        </is>
      </c>
    </row>
    <row r="30" ht="18" customHeight="1">
      <c r="A30" s="5" t="inlineStr">
        <is>
          <t>Tasa crédito bancario construcción</t>
        </is>
      </c>
      <c r="B30" s="10" t="n">
        <v>0.04</v>
      </c>
      <c r="C30" s="7" t="inlineStr">
        <is>
          <t>anual</t>
        </is>
      </c>
      <c r="D30" s="8" t="inlineStr">
        <is>
          <t>Tasa referencial</t>
        </is>
      </c>
    </row>
    <row r="31" ht="18" customHeight="1">
      <c r="A31" s="5" t="inlineStr">
        <is>
          <t>Plazo crédito bancario</t>
        </is>
      </c>
      <c r="B31" s="6" t="n">
        <v>20</v>
      </c>
      <c r="C31" s="7" t="inlineStr">
        <is>
          <t>años</t>
        </is>
      </c>
      <c r="D31" s="8" t="inlineStr">
        <is>
          <t>Referencial</t>
        </is>
      </c>
    </row>
    <row r="32" ht="20" customHeight="1">
      <c r="A32" s="4" t="inlineStr">
        <is>
          <t>▌ 7. CELDAS AUXILIARES (usadas por tablas de sensibilidad)</t>
        </is>
      </c>
    </row>
    <row r="33">
      <c r="A33" s="12" t="inlineStr">
        <is>
          <t xml:space="preserve">  Input variable cuota (Tabla 1)</t>
        </is>
      </c>
      <c r="B33" s="13">
        <f>B5</f>
        <v/>
      </c>
      <c r="C33" s="14" t="inlineStr">
        <is>
          <t>CLP</t>
        </is>
      </c>
      <c r="D33" s="14" t="inlineStr">
        <is>
          <t>Variable de entrada para Tabla Sensibilidad 1</t>
        </is>
      </c>
    </row>
    <row r="34">
      <c r="A34" s="12" t="inlineStr">
        <is>
          <t xml:space="preserve">  Input variable familias (Tabla 1 y 3)</t>
        </is>
      </c>
      <c r="B34" s="15">
        <f>B4</f>
        <v/>
      </c>
      <c r="C34" s="14" t="inlineStr">
        <is>
          <t>familias</t>
        </is>
      </c>
      <c r="D34" s="14" t="inlineStr">
        <is>
          <t>Variable de entrada para Tabla Sensibilidad 1 y 3</t>
        </is>
      </c>
    </row>
    <row r="35">
      <c r="A35" s="12" t="inlineStr">
        <is>
          <t xml:space="preserve">  Input variable canon (Tabla 2)</t>
        </is>
      </c>
      <c r="B35" s="13">
        <f>B17</f>
        <v/>
      </c>
      <c r="C35" s="14" t="inlineStr">
        <is>
          <t>CLP</t>
        </is>
      </c>
      <c r="D35" s="14" t="inlineStr">
        <is>
          <t>Variable de entrada para Tabla Sensibilidad 2</t>
        </is>
      </c>
    </row>
    <row r="36">
      <c r="A36" s="12" t="inlineStr">
        <is>
          <t xml:space="preserve">  Input variable precio terreno (Tabla 3)</t>
        </is>
      </c>
      <c r="B36" s="13">
        <f>B8</f>
        <v/>
      </c>
      <c r="C36" s="14" t="inlineStr">
        <is>
          <t>CLP</t>
        </is>
      </c>
      <c r="D36" s="14" t="inlineStr">
        <is>
          <t>Variable de entrada para Tabla Sensibilidad 3</t>
        </is>
      </c>
    </row>
  </sheetData>
  <mergeCells count="9">
    <mergeCell ref="A1:D1"/>
    <mergeCell ref="A9:D9"/>
    <mergeCell ref="A4:D4"/>
    <mergeCell ref="A20:D20"/>
    <mergeCell ref="A25:D25"/>
    <mergeCell ref="A2:D2"/>
    <mergeCell ref="A28:D28"/>
    <mergeCell ref="A32:D32"/>
    <mergeCell ref="A14:D1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4" customWidth="1" min="13" max="13"/>
    <col width="15" customWidth="1" min="14" max="14"/>
    <col width="15" customWidth="1" min="15" max="15"/>
    <col width="14" customWidth="1" min="16" max="16"/>
    <col width="15" customWidth="1" min="17" max="17"/>
  </cols>
  <sheetData>
    <row r="1" ht="26" customHeight="1">
      <c r="A1" s="16" t="inlineStr">
        <is>
          <t>FLUJO DEL FONDO — Horizonte 180 Meses (15 Años)</t>
        </is>
      </c>
    </row>
    <row r="2" ht="22" customHeight="1">
      <c r="A2" s="17" t="inlineStr">
        <is>
          <t>Mes</t>
        </is>
      </c>
      <c r="B2" s="17" t="inlineStr">
        <is>
          <t>Año</t>
        </is>
      </c>
      <c r="C2" s="17" t="inlineStr">
        <is>
          <t>Fam. Activas</t>
        </is>
      </c>
      <c r="D2" s="17" t="inlineStr">
        <is>
          <t>Ap. Capa 1</t>
        </is>
      </c>
      <c r="E2" s="17" t="inlineStr">
        <is>
          <t>Acum. Capa 1</t>
        </is>
      </c>
      <c r="F2" s="17" t="inlineStr">
        <is>
          <t>Desemb. C2</t>
        </is>
      </c>
      <c r="G2" s="17" t="inlineStr">
        <is>
          <t>Acum. C2</t>
        </is>
      </c>
      <c r="H2" s="17" t="inlineStr">
        <is>
          <t>Acum. C3</t>
        </is>
      </c>
      <c r="I2" s="17" t="inlineStr">
        <is>
          <t>Cap. Total</t>
        </is>
      </c>
      <c r="J2" s="17" t="inlineStr">
        <is>
          <t>Terrenos</t>
        </is>
      </c>
      <c r="K2" s="17" t="inlineStr">
        <is>
          <t>Fam. Ubic.</t>
        </is>
      </c>
      <c r="L2" s="17" t="inlineStr">
        <is>
          <t>En Espera</t>
        </is>
      </c>
      <c r="M2" s="17" t="inlineStr">
        <is>
          <t>Canon Mes.</t>
        </is>
      </c>
      <c r="N2" s="17" t="inlineStr">
        <is>
          <t>Acum. Canon</t>
        </is>
      </c>
      <c r="O2" s="17" t="inlineStr">
        <is>
          <t>Serv. C2</t>
        </is>
      </c>
      <c r="P2" s="17" t="inlineStr">
        <is>
          <t>Flujo Neto</t>
        </is>
      </c>
      <c r="Q2" s="17" t="inlineStr">
        <is>
          <t>Acum. Neto</t>
        </is>
      </c>
    </row>
    <row r="3" ht="36" customHeight="1">
      <c r="A3" s="18" t="inlineStr">
        <is>
          <t>Mes</t>
        </is>
      </c>
      <c r="B3" s="18" t="inlineStr">
        <is>
          <t>Año</t>
        </is>
      </c>
      <c r="C3" s="18" t="inlineStr">
        <is>
          <t>Familias Activas</t>
        </is>
      </c>
      <c r="D3" s="18" t="inlineStr">
        <is>
          <t>Aporte Mensual Capa 1 (CLP)</t>
        </is>
      </c>
      <c r="E3" s="18" t="inlineStr">
        <is>
          <t>Acumulado Capa 1 (CLP)</t>
        </is>
      </c>
      <c r="F3" s="18" t="inlineStr">
        <is>
          <t>Desembolso Capa 2 Mensual (CLP)</t>
        </is>
      </c>
      <c r="G3" s="18" t="inlineStr">
        <is>
          <t>Capital Capa 2 Acumulado (CLP)</t>
        </is>
      </c>
      <c r="H3" s="18" t="inlineStr">
        <is>
          <t>Subsidio Capa 3 Acumulado (CLP)</t>
        </is>
      </c>
      <c r="I3" s="18" t="inlineStr">
        <is>
          <t>Capital Total Disponible (CLP)</t>
        </is>
      </c>
      <c r="J3" s="18" t="inlineStr">
        <is>
          <t>Terrenos Adquiridos Acumulados</t>
        </is>
      </c>
      <c r="K3" s="18" t="inlineStr">
        <is>
          <t>Familias Ubicadas Acumuladas</t>
        </is>
      </c>
      <c r="L3" s="18" t="inlineStr">
        <is>
          <t>Familias en Espera</t>
        </is>
      </c>
      <c r="M3" s="18" t="inlineStr">
        <is>
          <t>Canon Mensual Recibido (CLP)</t>
        </is>
      </c>
      <c r="N3" s="18" t="inlineStr">
        <is>
          <t>Canon Acumulado (CLP)</t>
        </is>
      </c>
      <c r="O3" s="18" t="inlineStr">
        <is>
          <t>Servicio Deuda Capa 2 Mensual (CLP)</t>
        </is>
      </c>
      <c r="P3" s="18" t="inlineStr">
        <is>
          <t>Flujo Neto Mensual (CLP)</t>
        </is>
      </c>
      <c r="Q3" s="18" t="inlineStr">
        <is>
          <t>Flujo Neto Acumulado (CLP)</t>
        </is>
      </c>
    </row>
    <row r="4">
      <c r="A4" s="19" t="n">
        <v>1</v>
      </c>
      <c r="B4" s="19">
        <f>INT((1-1)/12)+1</f>
        <v/>
      </c>
      <c r="C4" s="20">
        <f>'Parámetros'!$B$5</f>
        <v/>
      </c>
      <c r="D4" s="21">
        <f>C4*'Parámetros'!$B$6</f>
        <v/>
      </c>
      <c r="E4" s="21">
        <f>D4</f>
        <v/>
      </c>
      <c r="F4" s="21">
        <f>MIN('Parámetros'!$B$15, D4*'Parámetros'!$B$16)</f>
        <v/>
      </c>
      <c r="G4" s="21">
        <f>F4</f>
        <v/>
      </c>
      <c r="H4" s="21">
        <f>0</f>
        <v/>
      </c>
      <c r="I4" s="22">
        <f>E4+G4+H4</f>
        <v/>
      </c>
      <c r="J4" s="19">
        <f>ENTERO(I4/('Parámetros'!$B$10*(1+'Parámetros'!$B$13)^((1-1)/12)))</f>
        <v/>
      </c>
      <c r="K4" s="19">
        <f>J4*'Parámetros'!$B$12</f>
        <v/>
      </c>
      <c r="L4" s="19">
        <f>MAX(0,C4-K4)</f>
        <v/>
      </c>
      <c r="M4" s="21">
        <f>K4*('Parámetros'!$B$26*(1+'Parámetros'!$B$27)^((1-1)/12))</f>
        <v/>
      </c>
      <c r="N4" s="21">
        <f>M4</f>
        <v/>
      </c>
      <c r="O4" s="21">
        <f>IF(1&lt;='Parámetros'!$B$19,0,G4*'Parámetros'!$B$17/12)</f>
        <v/>
      </c>
      <c r="P4" s="22">
        <f>D4+M4-O4</f>
        <v/>
      </c>
      <c r="Q4" s="21">
        <f>P4</f>
        <v/>
      </c>
    </row>
    <row r="5">
      <c r="A5" s="23" t="n">
        <v>2</v>
      </c>
      <c r="B5" s="23">
        <f>INT((2-1)/12)+1</f>
        <v/>
      </c>
      <c r="C5" s="24">
        <f>REDONDEAR(C4*(1-'Parámetros'!$B$7)^(1/12),0)</f>
        <v/>
      </c>
      <c r="D5" s="25">
        <f>C5*'Parámetros'!$B$6</f>
        <v/>
      </c>
      <c r="E5" s="25">
        <f>E4+D5</f>
        <v/>
      </c>
      <c r="F5" s="25">
        <f>MAX(0, MIN('Parámetros'!$B$15-G4, D5*'Parámetros'!$B$16))</f>
        <v/>
      </c>
      <c r="G5" s="25">
        <f>G4+F5</f>
        <v/>
      </c>
      <c r="H5" s="25">
        <f>H4+IF(J5&gt;J4,(J5-J4)*('Parámetros'!$B$12*'Parámetros'!$B$23*'Parámetros'!$B$21*'Parámetros'!$B$22*'Parámetros'!$B$24),0)</f>
        <v/>
      </c>
      <c r="I5" s="26">
        <f>E5+G5+H5</f>
        <v/>
      </c>
      <c r="J5" s="23">
        <f>ENTERO(I5/('Parámetros'!$B$10*(1+'Parámetros'!$B$13)^((2-1)/12)))</f>
        <v/>
      </c>
      <c r="K5" s="23">
        <f>J5*'Parámetros'!$B$12</f>
        <v/>
      </c>
      <c r="L5" s="23">
        <f>MAX(0,C5-K5)</f>
        <v/>
      </c>
      <c r="M5" s="25">
        <f>K5*('Parámetros'!$B$26*(1+'Parámetros'!$B$27)^((2-1)/12))</f>
        <v/>
      </c>
      <c r="N5" s="25">
        <f>N4+M5</f>
        <v/>
      </c>
      <c r="O5" s="25">
        <f>IF(2&lt;='Parámetros'!$B$19,0,G5*'Parámetros'!$B$17/12)</f>
        <v/>
      </c>
      <c r="P5" s="26">
        <f>D5+M5-O5</f>
        <v/>
      </c>
      <c r="Q5" s="26">
        <f>Q4+P5</f>
        <v/>
      </c>
    </row>
    <row r="6">
      <c r="A6" s="19" t="n">
        <v>3</v>
      </c>
      <c r="B6" s="19">
        <f>INT((3-1)/12)+1</f>
        <v/>
      </c>
      <c r="C6" s="20">
        <f>REDONDEAR(C5*(1-'Parámetros'!$B$7)^(1/12),0)</f>
        <v/>
      </c>
      <c r="D6" s="21">
        <f>C6*'Parámetros'!$B$6</f>
        <v/>
      </c>
      <c r="E6" s="21">
        <f>E5+D6</f>
        <v/>
      </c>
      <c r="F6" s="21">
        <f>MAX(0, MIN('Parámetros'!$B$15-G5, D6*'Parámetros'!$B$16))</f>
        <v/>
      </c>
      <c r="G6" s="21">
        <f>G5+F6</f>
        <v/>
      </c>
      <c r="H6" s="21">
        <f>H5+IF(J6&gt;J5,(J6-J5)*('Parámetros'!$B$12*'Parámetros'!$B$23*'Parámetros'!$B$21*'Parámetros'!$B$22*'Parámetros'!$B$24),0)</f>
        <v/>
      </c>
      <c r="I6" s="22">
        <f>E6+G6+H6</f>
        <v/>
      </c>
      <c r="J6" s="19">
        <f>ENTERO(I6/('Parámetros'!$B$10*(1+'Parámetros'!$B$13)^((3-1)/12)))</f>
        <v/>
      </c>
      <c r="K6" s="19">
        <f>J6*'Parámetros'!$B$12</f>
        <v/>
      </c>
      <c r="L6" s="19">
        <f>MAX(0,C6-K6)</f>
        <v/>
      </c>
      <c r="M6" s="21">
        <f>K6*('Parámetros'!$B$26*(1+'Parámetros'!$B$27)^((3-1)/12))</f>
        <v/>
      </c>
      <c r="N6" s="21">
        <f>N5+M6</f>
        <v/>
      </c>
      <c r="O6" s="21">
        <f>IF(3&lt;='Parámetros'!$B$19,0,G6*'Parámetros'!$B$17/12)</f>
        <v/>
      </c>
      <c r="P6" s="22">
        <f>D6+M6-O6</f>
        <v/>
      </c>
      <c r="Q6" s="22">
        <f>Q5+P6</f>
        <v/>
      </c>
    </row>
    <row r="7">
      <c r="A7" s="23" t="n">
        <v>4</v>
      </c>
      <c r="B7" s="23">
        <f>INT((4-1)/12)+1</f>
        <v/>
      </c>
      <c r="C7" s="24">
        <f>REDONDEAR(C6*(1-'Parámetros'!$B$7)^(1/12),0)</f>
        <v/>
      </c>
      <c r="D7" s="25">
        <f>C7*'Parámetros'!$B$6</f>
        <v/>
      </c>
      <c r="E7" s="25">
        <f>E6+D7</f>
        <v/>
      </c>
      <c r="F7" s="25">
        <f>MAX(0, MIN('Parámetros'!$B$15-G6, D7*'Parámetros'!$B$16))</f>
        <v/>
      </c>
      <c r="G7" s="25">
        <f>G6+F7</f>
        <v/>
      </c>
      <c r="H7" s="25">
        <f>H6+IF(J7&gt;J6,(J7-J6)*('Parámetros'!$B$12*'Parámetros'!$B$23*'Parámetros'!$B$21*'Parámetros'!$B$22*'Parámetros'!$B$24),0)</f>
        <v/>
      </c>
      <c r="I7" s="26">
        <f>E7+G7+H7</f>
        <v/>
      </c>
      <c r="J7" s="23">
        <f>ENTERO(I7/('Parámetros'!$B$10*(1+'Parámetros'!$B$13)^((4-1)/12)))</f>
        <v/>
      </c>
      <c r="K7" s="23">
        <f>J7*'Parámetros'!$B$12</f>
        <v/>
      </c>
      <c r="L7" s="23">
        <f>MAX(0,C7-K7)</f>
        <v/>
      </c>
      <c r="M7" s="25">
        <f>K7*('Parámetros'!$B$26*(1+'Parámetros'!$B$27)^((4-1)/12))</f>
        <v/>
      </c>
      <c r="N7" s="25">
        <f>N6+M7</f>
        <v/>
      </c>
      <c r="O7" s="25">
        <f>IF(4&lt;='Parámetros'!$B$19,0,G7*'Parámetros'!$B$17/12)</f>
        <v/>
      </c>
      <c r="P7" s="26">
        <f>D7+M7-O7</f>
        <v/>
      </c>
      <c r="Q7" s="26">
        <f>Q6+P7</f>
        <v/>
      </c>
    </row>
    <row r="8">
      <c r="A8" s="19" t="n">
        <v>5</v>
      </c>
      <c r="B8" s="19">
        <f>INT((5-1)/12)+1</f>
        <v/>
      </c>
      <c r="C8" s="20">
        <f>REDONDEAR(C7*(1-'Parámetros'!$B$7)^(1/12),0)</f>
        <v/>
      </c>
      <c r="D8" s="21">
        <f>C8*'Parámetros'!$B$6</f>
        <v/>
      </c>
      <c r="E8" s="21">
        <f>E7+D8</f>
        <v/>
      </c>
      <c r="F8" s="21">
        <f>MAX(0, MIN('Parámetros'!$B$15-G7, D8*'Parámetros'!$B$16))</f>
        <v/>
      </c>
      <c r="G8" s="21">
        <f>G7+F8</f>
        <v/>
      </c>
      <c r="H8" s="21">
        <f>H7+IF(J8&gt;J7,(J8-J7)*('Parámetros'!$B$12*'Parámetros'!$B$23*'Parámetros'!$B$21*'Parámetros'!$B$22*'Parámetros'!$B$24),0)</f>
        <v/>
      </c>
      <c r="I8" s="22">
        <f>E8+G8+H8</f>
        <v/>
      </c>
      <c r="J8" s="19">
        <f>ENTERO(I8/('Parámetros'!$B$10*(1+'Parámetros'!$B$13)^((5-1)/12)))</f>
        <v/>
      </c>
      <c r="K8" s="19">
        <f>J8*'Parámetros'!$B$12</f>
        <v/>
      </c>
      <c r="L8" s="19">
        <f>MAX(0,C8-K8)</f>
        <v/>
      </c>
      <c r="M8" s="21">
        <f>K8*('Parámetros'!$B$26*(1+'Parámetros'!$B$27)^((5-1)/12))</f>
        <v/>
      </c>
      <c r="N8" s="21">
        <f>N7+M8</f>
        <v/>
      </c>
      <c r="O8" s="21">
        <f>IF(5&lt;='Parámetros'!$B$19,0,G8*'Parámetros'!$B$17/12)</f>
        <v/>
      </c>
      <c r="P8" s="22">
        <f>D8+M8-O8</f>
        <v/>
      </c>
      <c r="Q8" s="22">
        <f>Q7+P8</f>
        <v/>
      </c>
    </row>
    <row r="9">
      <c r="A9" s="23" t="n">
        <v>6</v>
      </c>
      <c r="B9" s="23">
        <f>INT((6-1)/12)+1</f>
        <v/>
      </c>
      <c r="C9" s="24">
        <f>REDONDEAR(C8*(1-'Parámetros'!$B$7)^(1/12),0)</f>
        <v/>
      </c>
      <c r="D9" s="25">
        <f>C9*'Parámetros'!$B$6</f>
        <v/>
      </c>
      <c r="E9" s="25">
        <f>E8+D9</f>
        <v/>
      </c>
      <c r="F9" s="25">
        <f>MAX(0, MIN('Parámetros'!$B$15-G8, D9*'Parámetros'!$B$16))</f>
        <v/>
      </c>
      <c r="G9" s="25">
        <f>G8+F9</f>
        <v/>
      </c>
      <c r="H9" s="25">
        <f>H8+IF(J9&gt;J8,(J9-J8)*('Parámetros'!$B$12*'Parámetros'!$B$23*'Parámetros'!$B$21*'Parámetros'!$B$22*'Parámetros'!$B$24),0)</f>
        <v/>
      </c>
      <c r="I9" s="26">
        <f>E9+G9+H9</f>
        <v/>
      </c>
      <c r="J9" s="23">
        <f>ENTERO(I9/('Parámetros'!$B$10*(1+'Parámetros'!$B$13)^((6-1)/12)))</f>
        <v/>
      </c>
      <c r="K9" s="23">
        <f>J9*'Parámetros'!$B$12</f>
        <v/>
      </c>
      <c r="L9" s="23">
        <f>MAX(0,C9-K9)</f>
        <v/>
      </c>
      <c r="M9" s="25">
        <f>K9*('Parámetros'!$B$26*(1+'Parámetros'!$B$27)^((6-1)/12))</f>
        <v/>
      </c>
      <c r="N9" s="25">
        <f>N8+M9</f>
        <v/>
      </c>
      <c r="O9" s="25">
        <f>IF(6&lt;='Parámetros'!$B$19,0,G9*'Parámetros'!$B$17/12)</f>
        <v/>
      </c>
      <c r="P9" s="26">
        <f>D9+M9-O9</f>
        <v/>
      </c>
      <c r="Q9" s="26">
        <f>Q8+P9</f>
        <v/>
      </c>
    </row>
    <row r="10">
      <c r="A10" s="19" t="n">
        <v>7</v>
      </c>
      <c r="B10" s="19">
        <f>INT((7-1)/12)+1</f>
        <v/>
      </c>
      <c r="C10" s="20">
        <f>REDONDEAR(C9*(1-'Parámetros'!$B$7)^(1/12),0)</f>
        <v/>
      </c>
      <c r="D10" s="21">
        <f>C10*'Parámetros'!$B$6</f>
        <v/>
      </c>
      <c r="E10" s="21">
        <f>E9+D10</f>
        <v/>
      </c>
      <c r="F10" s="21">
        <f>MAX(0, MIN('Parámetros'!$B$15-G9, D10*'Parámetros'!$B$16))</f>
        <v/>
      </c>
      <c r="G10" s="21">
        <f>G9+F10</f>
        <v/>
      </c>
      <c r="H10" s="21">
        <f>H9+IF(J10&gt;J9,(J10-J9)*('Parámetros'!$B$12*'Parámetros'!$B$23*'Parámetros'!$B$21*'Parámetros'!$B$22*'Parámetros'!$B$24),0)</f>
        <v/>
      </c>
      <c r="I10" s="22">
        <f>E10+G10+H10</f>
        <v/>
      </c>
      <c r="J10" s="19">
        <f>ENTERO(I10/('Parámetros'!$B$10*(1+'Parámetros'!$B$13)^((7-1)/12)))</f>
        <v/>
      </c>
      <c r="K10" s="19">
        <f>J10*'Parámetros'!$B$12</f>
        <v/>
      </c>
      <c r="L10" s="19">
        <f>MAX(0,C10-K10)</f>
        <v/>
      </c>
      <c r="M10" s="21">
        <f>K10*('Parámetros'!$B$26*(1+'Parámetros'!$B$27)^((7-1)/12))</f>
        <v/>
      </c>
      <c r="N10" s="21">
        <f>N9+M10</f>
        <v/>
      </c>
      <c r="O10" s="21">
        <f>IF(7&lt;='Parámetros'!$B$19,0,G10*'Parámetros'!$B$17/12)</f>
        <v/>
      </c>
      <c r="P10" s="22">
        <f>D10+M10-O10</f>
        <v/>
      </c>
      <c r="Q10" s="22">
        <f>Q9+P10</f>
        <v/>
      </c>
    </row>
    <row r="11">
      <c r="A11" s="23" t="n">
        <v>8</v>
      </c>
      <c r="B11" s="23">
        <f>INT((8-1)/12)+1</f>
        <v/>
      </c>
      <c r="C11" s="24">
        <f>REDONDEAR(C10*(1-'Parámetros'!$B$7)^(1/12),0)</f>
        <v/>
      </c>
      <c r="D11" s="25">
        <f>C11*'Parámetros'!$B$6</f>
        <v/>
      </c>
      <c r="E11" s="25">
        <f>E10+D11</f>
        <v/>
      </c>
      <c r="F11" s="25">
        <f>MAX(0, MIN('Parámetros'!$B$15-G10, D11*'Parámetros'!$B$16))</f>
        <v/>
      </c>
      <c r="G11" s="25">
        <f>G10+F11</f>
        <v/>
      </c>
      <c r="H11" s="25">
        <f>H10+IF(J11&gt;J10,(J11-J10)*('Parámetros'!$B$12*'Parámetros'!$B$23*'Parámetros'!$B$21*'Parámetros'!$B$22*'Parámetros'!$B$24),0)</f>
        <v/>
      </c>
      <c r="I11" s="26">
        <f>E11+G11+H11</f>
        <v/>
      </c>
      <c r="J11" s="23">
        <f>ENTERO(I11/('Parámetros'!$B$10*(1+'Parámetros'!$B$13)^((8-1)/12)))</f>
        <v/>
      </c>
      <c r="K11" s="23">
        <f>J11*'Parámetros'!$B$12</f>
        <v/>
      </c>
      <c r="L11" s="23">
        <f>MAX(0,C11-K11)</f>
        <v/>
      </c>
      <c r="M11" s="25">
        <f>K11*('Parámetros'!$B$26*(1+'Parámetros'!$B$27)^((8-1)/12))</f>
        <v/>
      </c>
      <c r="N11" s="25">
        <f>N10+M11</f>
        <v/>
      </c>
      <c r="O11" s="25">
        <f>IF(8&lt;='Parámetros'!$B$19,0,G11*'Parámetros'!$B$17/12)</f>
        <v/>
      </c>
      <c r="P11" s="26">
        <f>D11+M11-O11</f>
        <v/>
      </c>
      <c r="Q11" s="26">
        <f>Q10+P11</f>
        <v/>
      </c>
    </row>
    <row r="12">
      <c r="A12" s="19" t="n">
        <v>9</v>
      </c>
      <c r="B12" s="19">
        <f>INT((9-1)/12)+1</f>
        <v/>
      </c>
      <c r="C12" s="20">
        <f>REDONDEAR(C11*(1-'Parámetros'!$B$7)^(1/12),0)</f>
        <v/>
      </c>
      <c r="D12" s="21">
        <f>C12*'Parámetros'!$B$6</f>
        <v/>
      </c>
      <c r="E12" s="21">
        <f>E11+D12</f>
        <v/>
      </c>
      <c r="F12" s="21">
        <f>MAX(0, MIN('Parámetros'!$B$15-G11, D12*'Parámetros'!$B$16))</f>
        <v/>
      </c>
      <c r="G12" s="21">
        <f>G11+F12</f>
        <v/>
      </c>
      <c r="H12" s="21">
        <f>H11+IF(J12&gt;J11,(J12-J11)*('Parámetros'!$B$12*'Parámetros'!$B$23*'Parámetros'!$B$21*'Parámetros'!$B$22*'Parámetros'!$B$24),0)</f>
        <v/>
      </c>
      <c r="I12" s="22">
        <f>E12+G12+H12</f>
        <v/>
      </c>
      <c r="J12" s="19">
        <f>ENTERO(I12/('Parámetros'!$B$10*(1+'Parámetros'!$B$13)^((9-1)/12)))</f>
        <v/>
      </c>
      <c r="K12" s="19">
        <f>J12*'Parámetros'!$B$12</f>
        <v/>
      </c>
      <c r="L12" s="19">
        <f>MAX(0,C12-K12)</f>
        <v/>
      </c>
      <c r="M12" s="21">
        <f>K12*('Parámetros'!$B$26*(1+'Parámetros'!$B$27)^((9-1)/12))</f>
        <v/>
      </c>
      <c r="N12" s="21">
        <f>N11+M12</f>
        <v/>
      </c>
      <c r="O12" s="21">
        <f>IF(9&lt;='Parámetros'!$B$19,0,G12*'Parámetros'!$B$17/12)</f>
        <v/>
      </c>
      <c r="P12" s="22">
        <f>D12+M12-O12</f>
        <v/>
      </c>
      <c r="Q12" s="22">
        <f>Q11+P12</f>
        <v/>
      </c>
    </row>
    <row r="13">
      <c r="A13" s="23" t="n">
        <v>10</v>
      </c>
      <c r="B13" s="23">
        <f>INT((10-1)/12)+1</f>
        <v/>
      </c>
      <c r="C13" s="24">
        <f>REDONDEAR(C12*(1-'Parámetros'!$B$7)^(1/12),0)</f>
        <v/>
      </c>
      <c r="D13" s="25">
        <f>C13*'Parámetros'!$B$6</f>
        <v/>
      </c>
      <c r="E13" s="25">
        <f>E12+D13</f>
        <v/>
      </c>
      <c r="F13" s="25">
        <f>MAX(0, MIN('Parámetros'!$B$15-G12, D13*'Parámetros'!$B$16))</f>
        <v/>
      </c>
      <c r="G13" s="25">
        <f>G12+F13</f>
        <v/>
      </c>
      <c r="H13" s="25">
        <f>H12+IF(J13&gt;J12,(J13-J12)*('Parámetros'!$B$12*'Parámetros'!$B$23*'Parámetros'!$B$21*'Parámetros'!$B$22*'Parámetros'!$B$24),0)</f>
        <v/>
      </c>
      <c r="I13" s="26">
        <f>E13+G13+H13</f>
        <v/>
      </c>
      <c r="J13" s="23">
        <f>ENTERO(I13/('Parámetros'!$B$10*(1+'Parámetros'!$B$13)^((10-1)/12)))</f>
        <v/>
      </c>
      <c r="K13" s="23">
        <f>J13*'Parámetros'!$B$12</f>
        <v/>
      </c>
      <c r="L13" s="23">
        <f>MAX(0,C13-K13)</f>
        <v/>
      </c>
      <c r="M13" s="25">
        <f>K13*('Parámetros'!$B$26*(1+'Parámetros'!$B$27)^((10-1)/12))</f>
        <v/>
      </c>
      <c r="N13" s="25">
        <f>N12+M13</f>
        <v/>
      </c>
      <c r="O13" s="25">
        <f>IF(10&lt;='Parámetros'!$B$19,0,G13*'Parámetros'!$B$17/12)</f>
        <v/>
      </c>
      <c r="P13" s="26">
        <f>D13+M13-O13</f>
        <v/>
      </c>
      <c r="Q13" s="26">
        <f>Q12+P13</f>
        <v/>
      </c>
    </row>
    <row r="14">
      <c r="A14" s="19" t="n">
        <v>11</v>
      </c>
      <c r="B14" s="19">
        <f>INT((11-1)/12)+1</f>
        <v/>
      </c>
      <c r="C14" s="20">
        <f>REDONDEAR(C13*(1-'Parámetros'!$B$7)^(1/12),0)</f>
        <v/>
      </c>
      <c r="D14" s="21">
        <f>C14*'Parámetros'!$B$6</f>
        <v/>
      </c>
      <c r="E14" s="21">
        <f>E13+D14</f>
        <v/>
      </c>
      <c r="F14" s="21">
        <f>MAX(0, MIN('Parámetros'!$B$15-G13, D14*'Parámetros'!$B$16))</f>
        <v/>
      </c>
      <c r="G14" s="21">
        <f>G13+F14</f>
        <v/>
      </c>
      <c r="H14" s="21">
        <f>H13+IF(J14&gt;J13,(J14-J13)*('Parámetros'!$B$12*'Parámetros'!$B$23*'Parámetros'!$B$21*'Parámetros'!$B$22*'Parámetros'!$B$24),0)</f>
        <v/>
      </c>
      <c r="I14" s="22">
        <f>E14+G14+H14</f>
        <v/>
      </c>
      <c r="J14" s="19">
        <f>ENTERO(I14/('Parámetros'!$B$10*(1+'Parámetros'!$B$13)^((11-1)/12)))</f>
        <v/>
      </c>
      <c r="K14" s="19">
        <f>J14*'Parámetros'!$B$12</f>
        <v/>
      </c>
      <c r="L14" s="19">
        <f>MAX(0,C14-K14)</f>
        <v/>
      </c>
      <c r="M14" s="21">
        <f>K14*('Parámetros'!$B$26*(1+'Parámetros'!$B$27)^((11-1)/12))</f>
        <v/>
      </c>
      <c r="N14" s="21">
        <f>N13+M14</f>
        <v/>
      </c>
      <c r="O14" s="21">
        <f>IF(11&lt;='Parámetros'!$B$19,0,G14*'Parámetros'!$B$17/12)</f>
        <v/>
      </c>
      <c r="P14" s="22">
        <f>D14+M14-O14</f>
        <v/>
      </c>
      <c r="Q14" s="22">
        <f>Q13+P14</f>
        <v/>
      </c>
    </row>
    <row r="15">
      <c r="A15" s="23" t="n">
        <v>12</v>
      </c>
      <c r="B15" s="23">
        <f>INT((12-1)/12)+1</f>
        <v/>
      </c>
      <c r="C15" s="24">
        <f>REDONDEAR(C14*(1-'Parámetros'!$B$7)^(1/12),0)</f>
        <v/>
      </c>
      <c r="D15" s="25">
        <f>C15*'Parámetros'!$B$6</f>
        <v/>
      </c>
      <c r="E15" s="25">
        <f>E14+D15</f>
        <v/>
      </c>
      <c r="F15" s="25">
        <f>MAX(0, MIN('Parámetros'!$B$15-G14, D15*'Parámetros'!$B$16))</f>
        <v/>
      </c>
      <c r="G15" s="25">
        <f>G14+F15</f>
        <v/>
      </c>
      <c r="H15" s="25">
        <f>H14+IF(J15&gt;J14,(J15-J14)*('Parámetros'!$B$12*'Parámetros'!$B$23*'Parámetros'!$B$21*'Parámetros'!$B$22*'Parámetros'!$B$24),0)</f>
        <v/>
      </c>
      <c r="I15" s="26">
        <f>E15+G15+H15</f>
        <v/>
      </c>
      <c r="J15" s="23">
        <f>ENTERO(I15/('Parámetros'!$B$10*(1+'Parámetros'!$B$13)^((12-1)/12)))</f>
        <v/>
      </c>
      <c r="K15" s="23">
        <f>J15*'Parámetros'!$B$12</f>
        <v/>
      </c>
      <c r="L15" s="23">
        <f>MAX(0,C15-K15)</f>
        <v/>
      </c>
      <c r="M15" s="25">
        <f>K15*('Parámetros'!$B$26*(1+'Parámetros'!$B$27)^((12-1)/12))</f>
        <v/>
      </c>
      <c r="N15" s="25">
        <f>N14+M15</f>
        <v/>
      </c>
      <c r="O15" s="25">
        <f>IF(12&lt;='Parámetros'!$B$19,0,G15*'Parámetros'!$B$17/12)</f>
        <v/>
      </c>
      <c r="P15" s="26">
        <f>D15+M15-O15</f>
        <v/>
      </c>
      <c r="Q15" s="26">
        <f>Q14+P15</f>
        <v/>
      </c>
    </row>
    <row r="16">
      <c r="A16" s="19" t="n">
        <v>13</v>
      </c>
      <c r="B16" s="19">
        <f>INT((13-1)/12)+1</f>
        <v/>
      </c>
      <c r="C16" s="20">
        <f>REDONDEAR(C15*(1-'Parámetros'!$B$7)^(1/12),0)</f>
        <v/>
      </c>
      <c r="D16" s="21">
        <f>C16*'Parámetros'!$B$6</f>
        <v/>
      </c>
      <c r="E16" s="21">
        <f>E15+D16</f>
        <v/>
      </c>
      <c r="F16" s="21">
        <f>MAX(0, MIN('Parámetros'!$B$15-G15, D16*'Parámetros'!$B$16))</f>
        <v/>
      </c>
      <c r="G16" s="21">
        <f>G15+F16</f>
        <v/>
      </c>
      <c r="H16" s="21">
        <f>H15+IF(J16&gt;J15,(J16-J15)*('Parámetros'!$B$12*'Parámetros'!$B$23*'Parámetros'!$B$21*'Parámetros'!$B$22*'Parámetros'!$B$24),0)</f>
        <v/>
      </c>
      <c r="I16" s="22">
        <f>E16+G16+H16</f>
        <v/>
      </c>
      <c r="J16" s="19">
        <f>ENTERO(I16/('Parámetros'!$B$10*(1+'Parámetros'!$B$13)^((13-1)/12)))</f>
        <v/>
      </c>
      <c r="K16" s="19">
        <f>J16*'Parámetros'!$B$12</f>
        <v/>
      </c>
      <c r="L16" s="19">
        <f>MAX(0,C16-K16)</f>
        <v/>
      </c>
      <c r="M16" s="21">
        <f>K16*('Parámetros'!$B$26*(1+'Parámetros'!$B$27)^((13-1)/12))</f>
        <v/>
      </c>
      <c r="N16" s="21">
        <f>N15+M16</f>
        <v/>
      </c>
      <c r="O16" s="21">
        <f>IF(13&lt;='Parámetros'!$B$19,0,G16*'Parámetros'!$B$17/12)</f>
        <v/>
      </c>
      <c r="P16" s="22">
        <f>D16+M16-O16</f>
        <v/>
      </c>
      <c r="Q16" s="22">
        <f>Q15+P16</f>
        <v/>
      </c>
    </row>
    <row r="17">
      <c r="A17" s="23" t="n">
        <v>14</v>
      </c>
      <c r="B17" s="23">
        <f>INT((14-1)/12)+1</f>
        <v/>
      </c>
      <c r="C17" s="24">
        <f>REDONDEAR(C16*(1-'Parámetros'!$B$7)^(1/12),0)</f>
        <v/>
      </c>
      <c r="D17" s="25">
        <f>C17*'Parámetros'!$B$6</f>
        <v/>
      </c>
      <c r="E17" s="25">
        <f>E16+D17</f>
        <v/>
      </c>
      <c r="F17" s="25">
        <f>MAX(0, MIN('Parámetros'!$B$15-G16, D17*'Parámetros'!$B$16))</f>
        <v/>
      </c>
      <c r="G17" s="25">
        <f>G16+F17</f>
        <v/>
      </c>
      <c r="H17" s="25">
        <f>H16+IF(J17&gt;J16,(J17-J16)*('Parámetros'!$B$12*'Parámetros'!$B$23*'Parámetros'!$B$21*'Parámetros'!$B$22*'Parámetros'!$B$24),0)</f>
        <v/>
      </c>
      <c r="I17" s="26">
        <f>E17+G17+H17</f>
        <v/>
      </c>
      <c r="J17" s="23">
        <f>ENTERO(I17/('Parámetros'!$B$10*(1+'Parámetros'!$B$13)^((14-1)/12)))</f>
        <v/>
      </c>
      <c r="K17" s="23">
        <f>J17*'Parámetros'!$B$12</f>
        <v/>
      </c>
      <c r="L17" s="23">
        <f>MAX(0,C17-K17)</f>
        <v/>
      </c>
      <c r="M17" s="25">
        <f>K17*('Parámetros'!$B$26*(1+'Parámetros'!$B$27)^((14-1)/12))</f>
        <v/>
      </c>
      <c r="N17" s="25">
        <f>N16+M17</f>
        <v/>
      </c>
      <c r="O17" s="25">
        <f>IF(14&lt;='Parámetros'!$B$19,0,G17*'Parámetros'!$B$17/12)</f>
        <v/>
      </c>
      <c r="P17" s="26">
        <f>D17+M17-O17</f>
        <v/>
      </c>
      <c r="Q17" s="26">
        <f>Q16+P17</f>
        <v/>
      </c>
    </row>
    <row r="18">
      <c r="A18" s="19" t="n">
        <v>15</v>
      </c>
      <c r="B18" s="19">
        <f>INT((15-1)/12)+1</f>
        <v/>
      </c>
      <c r="C18" s="20">
        <f>REDONDEAR(C17*(1-'Parámetros'!$B$7)^(1/12),0)</f>
        <v/>
      </c>
      <c r="D18" s="21">
        <f>C18*'Parámetros'!$B$6</f>
        <v/>
      </c>
      <c r="E18" s="21">
        <f>E17+D18</f>
        <v/>
      </c>
      <c r="F18" s="21">
        <f>MAX(0, MIN('Parámetros'!$B$15-G17, D18*'Parámetros'!$B$16))</f>
        <v/>
      </c>
      <c r="G18" s="21">
        <f>G17+F18</f>
        <v/>
      </c>
      <c r="H18" s="21">
        <f>H17+IF(J18&gt;J17,(J18-J17)*('Parámetros'!$B$12*'Parámetros'!$B$23*'Parámetros'!$B$21*'Parámetros'!$B$22*'Parámetros'!$B$24),0)</f>
        <v/>
      </c>
      <c r="I18" s="22">
        <f>E18+G18+H18</f>
        <v/>
      </c>
      <c r="J18" s="19">
        <f>ENTERO(I18/('Parámetros'!$B$10*(1+'Parámetros'!$B$13)^((15-1)/12)))</f>
        <v/>
      </c>
      <c r="K18" s="19">
        <f>J18*'Parámetros'!$B$12</f>
        <v/>
      </c>
      <c r="L18" s="19">
        <f>MAX(0,C18-K18)</f>
        <v/>
      </c>
      <c r="M18" s="21">
        <f>K18*('Parámetros'!$B$26*(1+'Parámetros'!$B$27)^((15-1)/12))</f>
        <v/>
      </c>
      <c r="N18" s="21">
        <f>N17+M18</f>
        <v/>
      </c>
      <c r="O18" s="21">
        <f>IF(15&lt;='Parámetros'!$B$19,0,G18*'Parámetros'!$B$17/12)</f>
        <v/>
      </c>
      <c r="P18" s="22">
        <f>D18+M18-O18</f>
        <v/>
      </c>
      <c r="Q18" s="22">
        <f>Q17+P18</f>
        <v/>
      </c>
    </row>
    <row r="19">
      <c r="A19" s="23" t="n">
        <v>16</v>
      </c>
      <c r="B19" s="23">
        <f>INT((16-1)/12)+1</f>
        <v/>
      </c>
      <c r="C19" s="24">
        <f>REDONDEAR(C18*(1-'Parámetros'!$B$7)^(1/12),0)</f>
        <v/>
      </c>
      <c r="D19" s="25">
        <f>C19*'Parámetros'!$B$6</f>
        <v/>
      </c>
      <c r="E19" s="25">
        <f>E18+D19</f>
        <v/>
      </c>
      <c r="F19" s="25">
        <f>MAX(0, MIN('Parámetros'!$B$15-G18, D19*'Parámetros'!$B$16))</f>
        <v/>
      </c>
      <c r="G19" s="25">
        <f>G18+F19</f>
        <v/>
      </c>
      <c r="H19" s="25">
        <f>H18+IF(J19&gt;J18,(J19-J18)*('Parámetros'!$B$12*'Parámetros'!$B$23*'Parámetros'!$B$21*'Parámetros'!$B$22*'Parámetros'!$B$24),0)</f>
        <v/>
      </c>
      <c r="I19" s="26">
        <f>E19+G19+H19</f>
        <v/>
      </c>
      <c r="J19" s="23">
        <f>ENTERO(I19/('Parámetros'!$B$10*(1+'Parámetros'!$B$13)^((16-1)/12)))</f>
        <v/>
      </c>
      <c r="K19" s="23">
        <f>J19*'Parámetros'!$B$12</f>
        <v/>
      </c>
      <c r="L19" s="23">
        <f>MAX(0,C19-K19)</f>
        <v/>
      </c>
      <c r="M19" s="25">
        <f>K19*('Parámetros'!$B$26*(1+'Parámetros'!$B$27)^((16-1)/12))</f>
        <v/>
      </c>
      <c r="N19" s="25">
        <f>N18+M19</f>
        <v/>
      </c>
      <c r="O19" s="25">
        <f>IF(16&lt;='Parámetros'!$B$19,0,G19*'Parámetros'!$B$17/12)</f>
        <v/>
      </c>
      <c r="P19" s="26">
        <f>D19+M19-O19</f>
        <v/>
      </c>
      <c r="Q19" s="26">
        <f>Q18+P19</f>
        <v/>
      </c>
    </row>
    <row r="20">
      <c r="A20" s="19" t="n">
        <v>17</v>
      </c>
      <c r="B20" s="19">
        <f>INT((17-1)/12)+1</f>
        <v/>
      </c>
      <c r="C20" s="20">
        <f>REDONDEAR(C19*(1-'Parámetros'!$B$7)^(1/12),0)</f>
        <v/>
      </c>
      <c r="D20" s="21">
        <f>C20*'Parámetros'!$B$6</f>
        <v/>
      </c>
      <c r="E20" s="21">
        <f>E19+D20</f>
        <v/>
      </c>
      <c r="F20" s="21">
        <f>MAX(0, MIN('Parámetros'!$B$15-G19, D20*'Parámetros'!$B$16))</f>
        <v/>
      </c>
      <c r="G20" s="21">
        <f>G19+F20</f>
        <v/>
      </c>
      <c r="H20" s="21">
        <f>H19+IF(J20&gt;J19,(J20-J19)*('Parámetros'!$B$12*'Parámetros'!$B$23*'Parámetros'!$B$21*'Parámetros'!$B$22*'Parámetros'!$B$24),0)</f>
        <v/>
      </c>
      <c r="I20" s="22">
        <f>E20+G20+H20</f>
        <v/>
      </c>
      <c r="J20" s="19">
        <f>ENTERO(I20/('Parámetros'!$B$10*(1+'Parámetros'!$B$13)^((17-1)/12)))</f>
        <v/>
      </c>
      <c r="K20" s="19">
        <f>J20*'Parámetros'!$B$12</f>
        <v/>
      </c>
      <c r="L20" s="19">
        <f>MAX(0,C20-K20)</f>
        <v/>
      </c>
      <c r="M20" s="21">
        <f>K20*('Parámetros'!$B$26*(1+'Parámetros'!$B$27)^((17-1)/12))</f>
        <v/>
      </c>
      <c r="N20" s="21">
        <f>N19+M20</f>
        <v/>
      </c>
      <c r="O20" s="21">
        <f>IF(17&lt;='Parámetros'!$B$19,0,G20*'Parámetros'!$B$17/12)</f>
        <v/>
      </c>
      <c r="P20" s="22">
        <f>D20+M20-O20</f>
        <v/>
      </c>
      <c r="Q20" s="22">
        <f>Q19+P20</f>
        <v/>
      </c>
    </row>
    <row r="21">
      <c r="A21" s="23" t="n">
        <v>18</v>
      </c>
      <c r="B21" s="23">
        <f>INT((18-1)/12)+1</f>
        <v/>
      </c>
      <c r="C21" s="24">
        <f>REDONDEAR(C20*(1-'Parámetros'!$B$7)^(1/12),0)</f>
        <v/>
      </c>
      <c r="D21" s="25">
        <f>C21*'Parámetros'!$B$6</f>
        <v/>
      </c>
      <c r="E21" s="25">
        <f>E20+D21</f>
        <v/>
      </c>
      <c r="F21" s="25">
        <f>MAX(0, MIN('Parámetros'!$B$15-G20, D21*'Parámetros'!$B$16))</f>
        <v/>
      </c>
      <c r="G21" s="25">
        <f>G20+F21</f>
        <v/>
      </c>
      <c r="H21" s="25">
        <f>H20+IF(J21&gt;J20,(J21-J20)*('Parámetros'!$B$12*'Parámetros'!$B$23*'Parámetros'!$B$21*'Parámetros'!$B$22*'Parámetros'!$B$24),0)</f>
        <v/>
      </c>
      <c r="I21" s="26">
        <f>E21+G21+H21</f>
        <v/>
      </c>
      <c r="J21" s="23">
        <f>ENTERO(I21/('Parámetros'!$B$10*(1+'Parámetros'!$B$13)^((18-1)/12)))</f>
        <v/>
      </c>
      <c r="K21" s="23">
        <f>J21*'Parámetros'!$B$12</f>
        <v/>
      </c>
      <c r="L21" s="23">
        <f>MAX(0,C21-K21)</f>
        <v/>
      </c>
      <c r="M21" s="25">
        <f>K21*('Parámetros'!$B$26*(1+'Parámetros'!$B$27)^((18-1)/12))</f>
        <v/>
      </c>
      <c r="N21" s="25">
        <f>N20+M21</f>
        <v/>
      </c>
      <c r="O21" s="25">
        <f>IF(18&lt;='Parámetros'!$B$19,0,G21*'Parámetros'!$B$17/12)</f>
        <v/>
      </c>
      <c r="P21" s="26">
        <f>D21+M21-O21</f>
        <v/>
      </c>
      <c r="Q21" s="26">
        <f>Q20+P21</f>
        <v/>
      </c>
    </row>
    <row r="22">
      <c r="A22" s="19" t="n">
        <v>19</v>
      </c>
      <c r="B22" s="19">
        <f>INT((19-1)/12)+1</f>
        <v/>
      </c>
      <c r="C22" s="20">
        <f>REDONDEAR(C21*(1-'Parámetros'!$B$7)^(1/12),0)</f>
        <v/>
      </c>
      <c r="D22" s="21">
        <f>C22*'Parámetros'!$B$6</f>
        <v/>
      </c>
      <c r="E22" s="21">
        <f>E21+D22</f>
        <v/>
      </c>
      <c r="F22" s="21">
        <f>MAX(0, MIN('Parámetros'!$B$15-G21, D22*'Parámetros'!$B$16))</f>
        <v/>
      </c>
      <c r="G22" s="21">
        <f>G21+F22</f>
        <v/>
      </c>
      <c r="H22" s="21">
        <f>H21+IF(J22&gt;J21,(J22-J21)*('Parámetros'!$B$12*'Parámetros'!$B$23*'Parámetros'!$B$21*'Parámetros'!$B$22*'Parámetros'!$B$24),0)</f>
        <v/>
      </c>
      <c r="I22" s="22">
        <f>E22+G22+H22</f>
        <v/>
      </c>
      <c r="J22" s="19">
        <f>ENTERO(I22/('Parámetros'!$B$10*(1+'Parámetros'!$B$13)^((19-1)/12)))</f>
        <v/>
      </c>
      <c r="K22" s="19">
        <f>J22*'Parámetros'!$B$12</f>
        <v/>
      </c>
      <c r="L22" s="19">
        <f>MAX(0,C22-K22)</f>
        <v/>
      </c>
      <c r="M22" s="21">
        <f>K22*('Parámetros'!$B$26*(1+'Parámetros'!$B$27)^((19-1)/12))</f>
        <v/>
      </c>
      <c r="N22" s="21">
        <f>N21+M22</f>
        <v/>
      </c>
      <c r="O22" s="21">
        <f>IF(19&lt;='Parámetros'!$B$19,0,G22*'Parámetros'!$B$17/12)</f>
        <v/>
      </c>
      <c r="P22" s="22">
        <f>D22+M22-O22</f>
        <v/>
      </c>
      <c r="Q22" s="22">
        <f>Q21+P22</f>
        <v/>
      </c>
    </row>
    <row r="23">
      <c r="A23" s="23" t="n">
        <v>20</v>
      </c>
      <c r="B23" s="23">
        <f>INT((20-1)/12)+1</f>
        <v/>
      </c>
      <c r="C23" s="24">
        <f>REDONDEAR(C22*(1-'Parámetros'!$B$7)^(1/12),0)</f>
        <v/>
      </c>
      <c r="D23" s="25">
        <f>C23*'Parámetros'!$B$6</f>
        <v/>
      </c>
      <c r="E23" s="25">
        <f>E22+D23</f>
        <v/>
      </c>
      <c r="F23" s="25">
        <f>MAX(0, MIN('Parámetros'!$B$15-G22, D23*'Parámetros'!$B$16))</f>
        <v/>
      </c>
      <c r="G23" s="25">
        <f>G22+F23</f>
        <v/>
      </c>
      <c r="H23" s="25">
        <f>H22+IF(J23&gt;J22,(J23-J22)*('Parámetros'!$B$12*'Parámetros'!$B$23*'Parámetros'!$B$21*'Parámetros'!$B$22*'Parámetros'!$B$24),0)</f>
        <v/>
      </c>
      <c r="I23" s="26">
        <f>E23+G23+H23</f>
        <v/>
      </c>
      <c r="J23" s="23">
        <f>ENTERO(I23/('Parámetros'!$B$10*(1+'Parámetros'!$B$13)^((20-1)/12)))</f>
        <v/>
      </c>
      <c r="K23" s="23">
        <f>J23*'Parámetros'!$B$12</f>
        <v/>
      </c>
      <c r="L23" s="23">
        <f>MAX(0,C23-K23)</f>
        <v/>
      </c>
      <c r="M23" s="25">
        <f>K23*('Parámetros'!$B$26*(1+'Parámetros'!$B$27)^((20-1)/12))</f>
        <v/>
      </c>
      <c r="N23" s="25">
        <f>N22+M23</f>
        <v/>
      </c>
      <c r="O23" s="25">
        <f>IF(20&lt;='Parámetros'!$B$19,0,G23*'Parámetros'!$B$17/12)</f>
        <v/>
      </c>
      <c r="P23" s="26">
        <f>D23+M23-O23</f>
        <v/>
      </c>
      <c r="Q23" s="26">
        <f>Q22+P23</f>
        <v/>
      </c>
    </row>
    <row r="24">
      <c r="A24" s="19" t="n">
        <v>21</v>
      </c>
      <c r="B24" s="19">
        <f>INT((21-1)/12)+1</f>
        <v/>
      </c>
      <c r="C24" s="20">
        <f>REDONDEAR(C23*(1-'Parámetros'!$B$7)^(1/12),0)</f>
        <v/>
      </c>
      <c r="D24" s="21">
        <f>C24*'Parámetros'!$B$6</f>
        <v/>
      </c>
      <c r="E24" s="21">
        <f>E23+D24</f>
        <v/>
      </c>
      <c r="F24" s="21">
        <f>MAX(0, MIN('Parámetros'!$B$15-G23, D24*'Parámetros'!$B$16))</f>
        <v/>
      </c>
      <c r="G24" s="21">
        <f>G23+F24</f>
        <v/>
      </c>
      <c r="H24" s="21">
        <f>H23+IF(J24&gt;J23,(J24-J23)*('Parámetros'!$B$12*'Parámetros'!$B$23*'Parámetros'!$B$21*'Parámetros'!$B$22*'Parámetros'!$B$24),0)</f>
        <v/>
      </c>
      <c r="I24" s="22">
        <f>E24+G24+H24</f>
        <v/>
      </c>
      <c r="J24" s="19">
        <f>ENTERO(I24/('Parámetros'!$B$10*(1+'Parámetros'!$B$13)^((21-1)/12)))</f>
        <v/>
      </c>
      <c r="K24" s="19">
        <f>J24*'Parámetros'!$B$12</f>
        <v/>
      </c>
      <c r="L24" s="19">
        <f>MAX(0,C24-K24)</f>
        <v/>
      </c>
      <c r="M24" s="21">
        <f>K24*('Parámetros'!$B$26*(1+'Parámetros'!$B$27)^((21-1)/12))</f>
        <v/>
      </c>
      <c r="N24" s="21">
        <f>N23+M24</f>
        <v/>
      </c>
      <c r="O24" s="21">
        <f>IF(21&lt;='Parámetros'!$B$19,0,G24*'Parámetros'!$B$17/12)</f>
        <v/>
      </c>
      <c r="P24" s="22">
        <f>D24+M24-O24</f>
        <v/>
      </c>
      <c r="Q24" s="22">
        <f>Q23+P24</f>
        <v/>
      </c>
    </row>
    <row r="25">
      <c r="A25" s="23" t="n">
        <v>22</v>
      </c>
      <c r="B25" s="23">
        <f>INT((22-1)/12)+1</f>
        <v/>
      </c>
      <c r="C25" s="24">
        <f>REDONDEAR(C24*(1-'Parámetros'!$B$7)^(1/12),0)</f>
        <v/>
      </c>
      <c r="D25" s="25">
        <f>C25*'Parámetros'!$B$6</f>
        <v/>
      </c>
      <c r="E25" s="25">
        <f>E24+D25</f>
        <v/>
      </c>
      <c r="F25" s="25">
        <f>MAX(0, MIN('Parámetros'!$B$15-G24, D25*'Parámetros'!$B$16))</f>
        <v/>
      </c>
      <c r="G25" s="25">
        <f>G24+F25</f>
        <v/>
      </c>
      <c r="H25" s="25">
        <f>H24+IF(J25&gt;J24,(J25-J24)*('Parámetros'!$B$12*'Parámetros'!$B$23*'Parámetros'!$B$21*'Parámetros'!$B$22*'Parámetros'!$B$24),0)</f>
        <v/>
      </c>
      <c r="I25" s="26">
        <f>E25+G25+H25</f>
        <v/>
      </c>
      <c r="J25" s="23">
        <f>ENTERO(I25/('Parámetros'!$B$10*(1+'Parámetros'!$B$13)^((22-1)/12)))</f>
        <v/>
      </c>
      <c r="K25" s="23">
        <f>J25*'Parámetros'!$B$12</f>
        <v/>
      </c>
      <c r="L25" s="23">
        <f>MAX(0,C25-K25)</f>
        <v/>
      </c>
      <c r="M25" s="25">
        <f>K25*('Parámetros'!$B$26*(1+'Parámetros'!$B$27)^((22-1)/12))</f>
        <v/>
      </c>
      <c r="N25" s="25">
        <f>N24+M25</f>
        <v/>
      </c>
      <c r="O25" s="25">
        <f>IF(22&lt;='Parámetros'!$B$19,0,G25*'Parámetros'!$B$17/12)</f>
        <v/>
      </c>
      <c r="P25" s="26">
        <f>D25+M25-O25</f>
        <v/>
      </c>
      <c r="Q25" s="26">
        <f>Q24+P25</f>
        <v/>
      </c>
    </row>
    <row r="26">
      <c r="A26" s="19" t="n">
        <v>23</v>
      </c>
      <c r="B26" s="19">
        <f>INT((23-1)/12)+1</f>
        <v/>
      </c>
      <c r="C26" s="20">
        <f>REDONDEAR(C25*(1-'Parámetros'!$B$7)^(1/12),0)</f>
        <v/>
      </c>
      <c r="D26" s="21">
        <f>C26*'Parámetros'!$B$6</f>
        <v/>
      </c>
      <c r="E26" s="21">
        <f>E25+D26</f>
        <v/>
      </c>
      <c r="F26" s="21">
        <f>MAX(0, MIN('Parámetros'!$B$15-G25, D26*'Parámetros'!$B$16))</f>
        <v/>
      </c>
      <c r="G26" s="21">
        <f>G25+F26</f>
        <v/>
      </c>
      <c r="H26" s="21">
        <f>H25+IF(J26&gt;J25,(J26-J25)*('Parámetros'!$B$12*'Parámetros'!$B$23*'Parámetros'!$B$21*'Parámetros'!$B$22*'Parámetros'!$B$24),0)</f>
        <v/>
      </c>
      <c r="I26" s="22">
        <f>E26+G26+H26</f>
        <v/>
      </c>
      <c r="J26" s="19">
        <f>ENTERO(I26/('Parámetros'!$B$10*(1+'Parámetros'!$B$13)^((23-1)/12)))</f>
        <v/>
      </c>
      <c r="K26" s="19">
        <f>J26*'Parámetros'!$B$12</f>
        <v/>
      </c>
      <c r="L26" s="19">
        <f>MAX(0,C26-K26)</f>
        <v/>
      </c>
      <c r="M26" s="21">
        <f>K26*('Parámetros'!$B$26*(1+'Parámetros'!$B$27)^((23-1)/12))</f>
        <v/>
      </c>
      <c r="N26" s="21">
        <f>N25+M26</f>
        <v/>
      </c>
      <c r="O26" s="21">
        <f>IF(23&lt;='Parámetros'!$B$19,0,G26*'Parámetros'!$B$17/12)</f>
        <v/>
      </c>
      <c r="P26" s="22">
        <f>D26+M26-O26</f>
        <v/>
      </c>
      <c r="Q26" s="22">
        <f>Q25+P26</f>
        <v/>
      </c>
    </row>
    <row r="27">
      <c r="A27" s="23" t="n">
        <v>24</v>
      </c>
      <c r="B27" s="23">
        <f>INT((24-1)/12)+1</f>
        <v/>
      </c>
      <c r="C27" s="24">
        <f>REDONDEAR(C26*(1-'Parámetros'!$B$7)^(1/12),0)</f>
        <v/>
      </c>
      <c r="D27" s="25">
        <f>C27*'Parámetros'!$B$6</f>
        <v/>
      </c>
      <c r="E27" s="25">
        <f>E26+D27</f>
        <v/>
      </c>
      <c r="F27" s="25">
        <f>MAX(0, MIN('Parámetros'!$B$15-G26, D27*'Parámetros'!$B$16))</f>
        <v/>
      </c>
      <c r="G27" s="25">
        <f>G26+F27</f>
        <v/>
      </c>
      <c r="H27" s="25">
        <f>H26+IF(J27&gt;J26,(J27-J26)*('Parámetros'!$B$12*'Parámetros'!$B$23*'Parámetros'!$B$21*'Parámetros'!$B$22*'Parámetros'!$B$24),0)</f>
        <v/>
      </c>
      <c r="I27" s="26">
        <f>E27+G27+H27</f>
        <v/>
      </c>
      <c r="J27" s="23">
        <f>ENTERO(I27/('Parámetros'!$B$10*(1+'Parámetros'!$B$13)^((24-1)/12)))</f>
        <v/>
      </c>
      <c r="K27" s="23">
        <f>J27*'Parámetros'!$B$12</f>
        <v/>
      </c>
      <c r="L27" s="23">
        <f>MAX(0,C27-K27)</f>
        <v/>
      </c>
      <c r="M27" s="25">
        <f>K27*('Parámetros'!$B$26*(1+'Parámetros'!$B$27)^((24-1)/12))</f>
        <v/>
      </c>
      <c r="N27" s="25">
        <f>N26+M27</f>
        <v/>
      </c>
      <c r="O27" s="25">
        <f>IF(24&lt;='Parámetros'!$B$19,0,G27*'Parámetros'!$B$17/12)</f>
        <v/>
      </c>
      <c r="P27" s="26">
        <f>D27+M27-O27</f>
        <v/>
      </c>
      <c r="Q27" s="26">
        <f>Q26+P27</f>
        <v/>
      </c>
    </row>
    <row r="28">
      <c r="A28" s="19" t="n">
        <v>25</v>
      </c>
      <c r="B28" s="19">
        <f>INT((25-1)/12)+1</f>
        <v/>
      </c>
      <c r="C28" s="20">
        <f>REDONDEAR(C27*(1-'Parámetros'!$B$7)^(1/12),0)</f>
        <v/>
      </c>
      <c r="D28" s="21">
        <f>C28*'Parámetros'!$B$6</f>
        <v/>
      </c>
      <c r="E28" s="21">
        <f>E27+D28</f>
        <v/>
      </c>
      <c r="F28" s="21">
        <f>MAX(0, MIN('Parámetros'!$B$15-G27, D28*'Parámetros'!$B$16))</f>
        <v/>
      </c>
      <c r="G28" s="21">
        <f>G27+F28</f>
        <v/>
      </c>
      <c r="H28" s="21">
        <f>H27+IF(J28&gt;J27,(J28-J27)*('Parámetros'!$B$12*'Parámetros'!$B$23*'Parámetros'!$B$21*'Parámetros'!$B$22*'Parámetros'!$B$24),0)</f>
        <v/>
      </c>
      <c r="I28" s="22">
        <f>E28+G28+H28</f>
        <v/>
      </c>
      <c r="J28" s="19">
        <f>ENTERO(I28/('Parámetros'!$B$10*(1+'Parámetros'!$B$13)^((25-1)/12)))</f>
        <v/>
      </c>
      <c r="K28" s="19">
        <f>J28*'Parámetros'!$B$12</f>
        <v/>
      </c>
      <c r="L28" s="19">
        <f>MAX(0,C28-K28)</f>
        <v/>
      </c>
      <c r="M28" s="21">
        <f>K28*('Parámetros'!$B$26*(1+'Parámetros'!$B$27)^((25-1)/12))</f>
        <v/>
      </c>
      <c r="N28" s="21">
        <f>N27+M28</f>
        <v/>
      </c>
      <c r="O28" s="21">
        <f>IF(25&lt;='Parámetros'!$B$19,0,G28*'Parámetros'!$B$17/12)</f>
        <v/>
      </c>
      <c r="P28" s="22">
        <f>D28+M28-O28</f>
        <v/>
      </c>
      <c r="Q28" s="22">
        <f>Q27+P28</f>
        <v/>
      </c>
    </row>
    <row r="29">
      <c r="A29" s="23" t="n">
        <v>26</v>
      </c>
      <c r="B29" s="23">
        <f>INT((26-1)/12)+1</f>
        <v/>
      </c>
      <c r="C29" s="24">
        <f>REDONDEAR(C28*(1-'Parámetros'!$B$7)^(1/12),0)</f>
        <v/>
      </c>
      <c r="D29" s="25">
        <f>C29*'Parámetros'!$B$6</f>
        <v/>
      </c>
      <c r="E29" s="25">
        <f>E28+D29</f>
        <v/>
      </c>
      <c r="F29" s="25">
        <f>MAX(0, MIN('Parámetros'!$B$15-G28, D29*'Parámetros'!$B$16))</f>
        <v/>
      </c>
      <c r="G29" s="25">
        <f>G28+F29</f>
        <v/>
      </c>
      <c r="H29" s="25">
        <f>H28+IF(J29&gt;J28,(J29-J28)*('Parámetros'!$B$12*'Parámetros'!$B$23*'Parámetros'!$B$21*'Parámetros'!$B$22*'Parámetros'!$B$24),0)</f>
        <v/>
      </c>
      <c r="I29" s="26">
        <f>E29+G29+H29</f>
        <v/>
      </c>
      <c r="J29" s="23">
        <f>ENTERO(I29/('Parámetros'!$B$10*(1+'Parámetros'!$B$13)^((26-1)/12)))</f>
        <v/>
      </c>
      <c r="K29" s="23">
        <f>J29*'Parámetros'!$B$12</f>
        <v/>
      </c>
      <c r="L29" s="23">
        <f>MAX(0,C29-K29)</f>
        <v/>
      </c>
      <c r="M29" s="25">
        <f>K29*('Parámetros'!$B$26*(1+'Parámetros'!$B$27)^((26-1)/12))</f>
        <v/>
      </c>
      <c r="N29" s="25">
        <f>N28+M29</f>
        <v/>
      </c>
      <c r="O29" s="25">
        <f>IF(26&lt;='Parámetros'!$B$19,0,G29*'Parámetros'!$B$17/12)</f>
        <v/>
      </c>
      <c r="P29" s="26">
        <f>D29+M29-O29</f>
        <v/>
      </c>
      <c r="Q29" s="26">
        <f>Q28+P29</f>
        <v/>
      </c>
    </row>
    <row r="30">
      <c r="A30" s="19" t="n">
        <v>27</v>
      </c>
      <c r="B30" s="19">
        <f>INT((27-1)/12)+1</f>
        <v/>
      </c>
      <c r="C30" s="20">
        <f>REDONDEAR(C29*(1-'Parámetros'!$B$7)^(1/12),0)</f>
        <v/>
      </c>
      <c r="D30" s="21">
        <f>C30*'Parámetros'!$B$6</f>
        <v/>
      </c>
      <c r="E30" s="21">
        <f>E29+D30</f>
        <v/>
      </c>
      <c r="F30" s="21">
        <f>MAX(0, MIN('Parámetros'!$B$15-G29, D30*'Parámetros'!$B$16))</f>
        <v/>
      </c>
      <c r="G30" s="21">
        <f>G29+F30</f>
        <v/>
      </c>
      <c r="H30" s="21">
        <f>H29+IF(J30&gt;J29,(J30-J29)*('Parámetros'!$B$12*'Parámetros'!$B$23*'Parámetros'!$B$21*'Parámetros'!$B$22*'Parámetros'!$B$24),0)</f>
        <v/>
      </c>
      <c r="I30" s="22">
        <f>E30+G30+H30</f>
        <v/>
      </c>
      <c r="J30" s="19">
        <f>ENTERO(I30/('Parámetros'!$B$10*(1+'Parámetros'!$B$13)^((27-1)/12)))</f>
        <v/>
      </c>
      <c r="K30" s="19">
        <f>J30*'Parámetros'!$B$12</f>
        <v/>
      </c>
      <c r="L30" s="19">
        <f>MAX(0,C30-K30)</f>
        <v/>
      </c>
      <c r="M30" s="21">
        <f>K30*('Parámetros'!$B$26*(1+'Parámetros'!$B$27)^((27-1)/12))</f>
        <v/>
      </c>
      <c r="N30" s="21">
        <f>N29+M30</f>
        <v/>
      </c>
      <c r="O30" s="21">
        <f>IF(27&lt;='Parámetros'!$B$19,0,G30*'Parámetros'!$B$17/12)</f>
        <v/>
      </c>
      <c r="P30" s="22">
        <f>D30+M30-O30</f>
        <v/>
      </c>
      <c r="Q30" s="22">
        <f>Q29+P30</f>
        <v/>
      </c>
    </row>
    <row r="31">
      <c r="A31" s="23" t="n">
        <v>28</v>
      </c>
      <c r="B31" s="23">
        <f>INT((28-1)/12)+1</f>
        <v/>
      </c>
      <c r="C31" s="24">
        <f>REDONDEAR(C30*(1-'Parámetros'!$B$7)^(1/12),0)</f>
        <v/>
      </c>
      <c r="D31" s="25">
        <f>C31*'Parámetros'!$B$6</f>
        <v/>
      </c>
      <c r="E31" s="25">
        <f>E30+D31</f>
        <v/>
      </c>
      <c r="F31" s="25">
        <f>MAX(0, MIN('Parámetros'!$B$15-G30, D31*'Parámetros'!$B$16))</f>
        <v/>
      </c>
      <c r="G31" s="25">
        <f>G30+F31</f>
        <v/>
      </c>
      <c r="H31" s="25">
        <f>H30+IF(J31&gt;J30,(J31-J30)*('Parámetros'!$B$12*'Parámetros'!$B$23*'Parámetros'!$B$21*'Parámetros'!$B$22*'Parámetros'!$B$24),0)</f>
        <v/>
      </c>
      <c r="I31" s="26">
        <f>E31+G31+H31</f>
        <v/>
      </c>
      <c r="J31" s="23">
        <f>ENTERO(I31/('Parámetros'!$B$10*(1+'Parámetros'!$B$13)^((28-1)/12)))</f>
        <v/>
      </c>
      <c r="K31" s="23">
        <f>J31*'Parámetros'!$B$12</f>
        <v/>
      </c>
      <c r="L31" s="23">
        <f>MAX(0,C31-K31)</f>
        <v/>
      </c>
      <c r="M31" s="25">
        <f>K31*('Parámetros'!$B$26*(1+'Parámetros'!$B$27)^((28-1)/12))</f>
        <v/>
      </c>
      <c r="N31" s="25">
        <f>N30+M31</f>
        <v/>
      </c>
      <c r="O31" s="25">
        <f>IF(28&lt;='Parámetros'!$B$19,0,G31*'Parámetros'!$B$17/12)</f>
        <v/>
      </c>
      <c r="P31" s="26">
        <f>D31+M31-O31</f>
        <v/>
      </c>
      <c r="Q31" s="26">
        <f>Q30+P31</f>
        <v/>
      </c>
    </row>
    <row r="32">
      <c r="A32" s="19" t="n">
        <v>29</v>
      </c>
      <c r="B32" s="19">
        <f>INT((29-1)/12)+1</f>
        <v/>
      </c>
      <c r="C32" s="20">
        <f>REDONDEAR(C31*(1-'Parámetros'!$B$7)^(1/12),0)</f>
        <v/>
      </c>
      <c r="D32" s="21">
        <f>C32*'Parámetros'!$B$6</f>
        <v/>
      </c>
      <c r="E32" s="21">
        <f>E31+D32</f>
        <v/>
      </c>
      <c r="F32" s="21">
        <f>MAX(0, MIN('Parámetros'!$B$15-G31, D32*'Parámetros'!$B$16))</f>
        <v/>
      </c>
      <c r="G32" s="21">
        <f>G31+F32</f>
        <v/>
      </c>
      <c r="H32" s="21">
        <f>H31+IF(J32&gt;J31,(J32-J31)*('Parámetros'!$B$12*'Parámetros'!$B$23*'Parámetros'!$B$21*'Parámetros'!$B$22*'Parámetros'!$B$24),0)</f>
        <v/>
      </c>
      <c r="I32" s="22">
        <f>E32+G32+H32</f>
        <v/>
      </c>
      <c r="J32" s="19">
        <f>ENTERO(I32/('Parámetros'!$B$10*(1+'Parámetros'!$B$13)^((29-1)/12)))</f>
        <v/>
      </c>
      <c r="K32" s="19">
        <f>J32*'Parámetros'!$B$12</f>
        <v/>
      </c>
      <c r="L32" s="19">
        <f>MAX(0,C32-K32)</f>
        <v/>
      </c>
      <c r="M32" s="21">
        <f>K32*('Parámetros'!$B$26*(1+'Parámetros'!$B$27)^((29-1)/12))</f>
        <v/>
      </c>
      <c r="N32" s="21">
        <f>N31+M32</f>
        <v/>
      </c>
      <c r="O32" s="21">
        <f>IF(29&lt;='Parámetros'!$B$19,0,G32*'Parámetros'!$B$17/12)</f>
        <v/>
      </c>
      <c r="P32" s="22">
        <f>D32+M32-O32</f>
        <v/>
      </c>
      <c r="Q32" s="22">
        <f>Q31+P32</f>
        <v/>
      </c>
    </row>
    <row r="33">
      <c r="A33" s="23" t="n">
        <v>30</v>
      </c>
      <c r="B33" s="23">
        <f>INT((30-1)/12)+1</f>
        <v/>
      </c>
      <c r="C33" s="24">
        <f>REDONDEAR(C32*(1-'Parámetros'!$B$7)^(1/12),0)</f>
        <v/>
      </c>
      <c r="D33" s="25">
        <f>C33*'Parámetros'!$B$6</f>
        <v/>
      </c>
      <c r="E33" s="25">
        <f>E32+D33</f>
        <v/>
      </c>
      <c r="F33" s="25">
        <f>MAX(0, MIN('Parámetros'!$B$15-G32, D33*'Parámetros'!$B$16))</f>
        <v/>
      </c>
      <c r="G33" s="25">
        <f>G32+F33</f>
        <v/>
      </c>
      <c r="H33" s="25">
        <f>H32+IF(J33&gt;J32,(J33-J32)*('Parámetros'!$B$12*'Parámetros'!$B$23*'Parámetros'!$B$21*'Parámetros'!$B$22*'Parámetros'!$B$24),0)</f>
        <v/>
      </c>
      <c r="I33" s="26">
        <f>E33+G33+H33</f>
        <v/>
      </c>
      <c r="J33" s="23">
        <f>ENTERO(I33/('Parámetros'!$B$10*(1+'Parámetros'!$B$13)^((30-1)/12)))</f>
        <v/>
      </c>
      <c r="K33" s="23">
        <f>J33*'Parámetros'!$B$12</f>
        <v/>
      </c>
      <c r="L33" s="23">
        <f>MAX(0,C33-K33)</f>
        <v/>
      </c>
      <c r="M33" s="25">
        <f>K33*('Parámetros'!$B$26*(1+'Parámetros'!$B$27)^((30-1)/12))</f>
        <v/>
      </c>
      <c r="N33" s="25">
        <f>N32+M33</f>
        <v/>
      </c>
      <c r="O33" s="25">
        <f>IF(30&lt;='Parámetros'!$B$19,0,G33*'Parámetros'!$B$17/12)</f>
        <v/>
      </c>
      <c r="P33" s="26">
        <f>D33+M33-O33</f>
        <v/>
      </c>
      <c r="Q33" s="26">
        <f>Q32+P33</f>
        <v/>
      </c>
    </row>
    <row r="34">
      <c r="A34" s="19" t="n">
        <v>31</v>
      </c>
      <c r="B34" s="19">
        <f>INT((31-1)/12)+1</f>
        <v/>
      </c>
      <c r="C34" s="20">
        <f>REDONDEAR(C33*(1-'Parámetros'!$B$7)^(1/12),0)</f>
        <v/>
      </c>
      <c r="D34" s="21">
        <f>C34*'Parámetros'!$B$6</f>
        <v/>
      </c>
      <c r="E34" s="21">
        <f>E33+D34</f>
        <v/>
      </c>
      <c r="F34" s="21">
        <f>MAX(0, MIN('Parámetros'!$B$15-G33, D34*'Parámetros'!$B$16))</f>
        <v/>
      </c>
      <c r="G34" s="21">
        <f>G33+F34</f>
        <v/>
      </c>
      <c r="H34" s="21">
        <f>H33+IF(J34&gt;J33,(J34-J33)*('Parámetros'!$B$12*'Parámetros'!$B$23*'Parámetros'!$B$21*'Parámetros'!$B$22*'Parámetros'!$B$24),0)</f>
        <v/>
      </c>
      <c r="I34" s="22">
        <f>E34+G34+H34</f>
        <v/>
      </c>
      <c r="J34" s="19">
        <f>ENTERO(I34/('Parámetros'!$B$10*(1+'Parámetros'!$B$13)^((31-1)/12)))</f>
        <v/>
      </c>
      <c r="K34" s="19">
        <f>J34*'Parámetros'!$B$12</f>
        <v/>
      </c>
      <c r="L34" s="19">
        <f>MAX(0,C34-K34)</f>
        <v/>
      </c>
      <c r="M34" s="21">
        <f>K34*('Parámetros'!$B$26*(1+'Parámetros'!$B$27)^((31-1)/12))</f>
        <v/>
      </c>
      <c r="N34" s="21">
        <f>N33+M34</f>
        <v/>
      </c>
      <c r="O34" s="21">
        <f>IF(31&lt;='Parámetros'!$B$19,0,G34*'Parámetros'!$B$17/12)</f>
        <v/>
      </c>
      <c r="P34" s="22">
        <f>D34+M34-O34</f>
        <v/>
      </c>
      <c r="Q34" s="22">
        <f>Q33+P34</f>
        <v/>
      </c>
    </row>
    <row r="35">
      <c r="A35" s="23" t="n">
        <v>32</v>
      </c>
      <c r="B35" s="23">
        <f>INT((32-1)/12)+1</f>
        <v/>
      </c>
      <c r="C35" s="24">
        <f>REDONDEAR(C34*(1-'Parámetros'!$B$7)^(1/12),0)</f>
        <v/>
      </c>
      <c r="D35" s="25">
        <f>C35*'Parámetros'!$B$6</f>
        <v/>
      </c>
      <c r="E35" s="25">
        <f>E34+D35</f>
        <v/>
      </c>
      <c r="F35" s="25">
        <f>MAX(0, MIN('Parámetros'!$B$15-G34, D35*'Parámetros'!$B$16))</f>
        <v/>
      </c>
      <c r="G35" s="25">
        <f>G34+F35</f>
        <v/>
      </c>
      <c r="H35" s="25">
        <f>H34+IF(J35&gt;J34,(J35-J34)*('Parámetros'!$B$12*'Parámetros'!$B$23*'Parámetros'!$B$21*'Parámetros'!$B$22*'Parámetros'!$B$24),0)</f>
        <v/>
      </c>
      <c r="I35" s="26">
        <f>E35+G35+H35</f>
        <v/>
      </c>
      <c r="J35" s="23">
        <f>ENTERO(I35/('Parámetros'!$B$10*(1+'Parámetros'!$B$13)^((32-1)/12)))</f>
        <v/>
      </c>
      <c r="K35" s="23">
        <f>J35*'Parámetros'!$B$12</f>
        <v/>
      </c>
      <c r="L35" s="23">
        <f>MAX(0,C35-K35)</f>
        <v/>
      </c>
      <c r="M35" s="25">
        <f>K35*('Parámetros'!$B$26*(1+'Parámetros'!$B$27)^((32-1)/12))</f>
        <v/>
      </c>
      <c r="N35" s="25">
        <f>N34+M35</f>
        <v/>
      </c>
      <c r="O35" s="25">
        <f>IF(32&lt;='Parámetros'!$B$19,0,G35*'Parámetros'!$B$17/12)</f>
        <v/>
      </c>
      <c r="P35" s="26">
        <f>D35+M35-O35</f>
        <v/>
      </c>
      <c r="Q35" s="26">
        <f>Q34+P35</f>
        <v/>
      </c>
    </row>
    <row r="36">
      <c r="A36" s="19" t="n">
        <v>33</v>
      </c>
      <c r="B36" s="19">
        <f>INT((33-1)/12)+1</f>
        <v/>
      </c>
      <c r="C36" s="20">
        <f>REDONDEAR(C35*(1-'Parámetros'!$B$7)^(1/12),0)</f>
        <v/>
      </c>
      <c r="D36" s="21">
        <f>C36*'Parámetros'!$B$6</f>
        <v/>
      </c>
      <c r="E36" s="21">
        <f>E35+D36</f>
        <v/>
      </c>
      <c r="F36" s="21">
        <f>MAX(0, MIN('Parámetros'!$B$15-G35, D36*'Parámetros'!$B$16))</f>
        <v/>
      </c>
      <c r="G36" s="21">
        <f>G35+F36</f>
        <v/>
      </c>
      <c r="H36" s="21">
        <f>H35+IF(J36&gt;J35,(J36-J35)*('Parámetros'!$B$12*'Parámetros'!$B$23*'Parámetros'!$B$21*'Parámetros'!$B$22*'Parámetros'!$B$24),0)</f>
        <v/>
      </c>
      <c r="I36" s="22">
        <f>E36+G36+H36</f>
        <v/>
      </c>
      <c r="J36" s="19">
        <f>ENTERO(I36/('Parámetros'!$B$10*(1+'Parámetros'!$B$13)^((33-1)/12)))</f>
        <v/>
      </c>
      <c r="K36" s="19">
        <f>J36*'Parámetros'!$B$12</f>
        <v/>
      </c>
      <c r="L36" s="19">
        <f>MAX(0,C36-K36)</f>
        <v/>
      </c>
      <c r="M36" s="21">
        <f>K36*('Parámetros'!$B$26*(1+'Parámetros'!$B$27)^((33-1)/12))</f>
        <v/>
      </c>
      <c r="N36" s="21">
        <f>N35+M36</f>
        <v/>
      </c>
      <c r="O36" s="21">
        <f>IF(33&lt;='Parámetros'!$B$19,0,G36*'Parámetros'!$B$17/12)</f>
        <v/>
      </c>
      <c r="P36" s="22">
        <f>D36+M36-O36</f>
        <v/>
      </c>
      <c r="Q36" s="22">
        <f>Q35+P36</f>
        <v/>
      </c>
    </row>
    <row r="37">
      <c r="A37" s="23" t="n">
        <v>34</v>
      </c>
      <c r="B37" s="23">
        <f>INT((34-1)/12)+1</f>
        <v/>
      </c>
      <c r="C37" s="24">
        <f>REDONDEAR(C36*(1-'Parámetros'!$B$7)^(1/12),0)</f>
        <v/>
      </c>
      <c r="D37" s="25">
        <f>C37*'Parámetros'!$B$6</f>
        <v/>
      </c>
      <c r="E37" s="25">
        <f>E36+D37</f>
        <v/>
      </c>
      <c r="F37" s="25">
        <f>MAX(0, MIN('Parámetros'!$B$15-G36, D37*'Parámetros'!$B$16))</f>
        <v/>
      </c>
      <c r="G37" s="25">
        <f>G36+F37</f>
        <v/>
      </c>
      <c r="H37" s="25">
        <f>H36+IF(J37&gt;J36,(J37-J36)*('Parámetros'!$B$12*'Parámetros'!$B$23*'Parámetros'!$B$21*'Parámetros'!$B$22*'Parámetros'!$B$24),0)</f>
        <v/>
      </c>
      <c r="I37" s="26">
        <f>E37+G37+H37</f>
        <v/>
      </c>
      <c r="J37" s="23">
        <f>ENTERO(I37/('Parámetros'!$B$10*(1+'Parámetros'!$B$13)^((34-1)/12)))</f>
        <v/>
      </c>
      <c r="K37" s="23">
        <f>J37*'Parámetros'!$B$12</f>
        <v/>
      </c>
      <c r="L37" s="23">
        <f>MAX(0,C37-K37)</f>
        <v/>
      </c>
      <c r="M37" s="25">
        <f>K37*('Parámetros'!$B$26*(1+'Parámetros'!$B$27)^((34-1)/12))</f>
        <v/>
      </c>
      <c r="N37" s="25">
        <f>N36+M37</f>
        <v/>
      </c>
      <c r="O37" s="25">
        <f>IF(34&lt;='Parámetros'!$B$19,0,G37*'Parámetros'!$B$17/12)</f>
        <v/>
      </c>
      <c r="P37" s="26">
        <f>D37+M37-O37</f>
        <v/>
      </c>
      <c r="Q37" s="26">
        <f>Q36+P37</f>
        <v/>
      </c>
    </row>
    <row r="38">
      <c r="A38" s="19" t="n">
        <v>35</v>
      </c>
      <c r="B38" s="19">
        <f>INT((35-1)/12)+1</f>
        <v/>
      </c>
      <c r="C38" s="20">
        <f>REDONDEAR(C37*(1-'Parámetros'!$B$7)^(1/12),0)</f>
        <v/>
      </c>
      <c r="D38" s="21">
        <f>C38*'Parámetros'!$B$6</f>
        <v/>
      </c>
      <c r="E38" s="21">
        <f>E37+D38</f>
        <v/>
      </c>
      <c r="F38" s="21">
        <f>MAX(0, MIN('Parámetros'!$B$15-G37, D38*'Parámetros'!$B$16))</f>
        <v/>
      </c>
      <c r="G38" s="21">
        <f>G37+F38</f>
        <v/>
      </c>
      <c r="H38" s="21">
        <f>H37+IF(J38&gt;J37,(J38-J37)*('Parámetros'!$B$12*'Parámetros'!$B$23*'Parámetros'!$B$21*'Parámetros'!$B$22*'Parámetros'!$B$24),0)</f>
        <v/>
      </c>
      <c r="I38" s="22">
        <f>E38+G38+H38</f>
        <v/>
      </c>
      <c r="J38" s="19">
        <f>ENTERO(I38/('Parámetros'!$B$10*(1+'Parámetros'!$B$13)^((35-1)/12)))</f>
        <v/>
      </c>
      <c r="K38" s="19">
        <f>J38*'Parámetros'!$B$12</f>
        <v/>
      </c>
      <c r="L38" s="19">
        <f>MAX(0,C38-K38)</f>
        <v/>
      </c>
      <c r="M38" s="21">
        <f>K38*('Parámetros'!$B$26*(1+'Parámetros'!$B$27)^((35-1)/12))</f>
        <v/>
      </c>
      <c r="N38" s="21">
        <f>N37+M38</f>
        <v/>
      </c>
      <c r="O38" s="21">
        <f>IF(35&lt;='Parámetros'!$B$19,0,G38*'Parámetros'!$B$17/12)</f>
        <v/>
      </c>
      <c r="P38" s="22">
        <f>D38+M38-O38</f>
        <v/>
      </c>
      <c r="Q38" s="22">
        <f>Q37+P38</f>
        <v/>
      </c>
    </row>
    <row r="39">
      <c r="A39" s="23" t="n">
        <v>36</v>
      </c>
      <c r="B39" s="23">
        <f>INT((36-1)/12)+1</f>
        <v/>
      </c>
      <c r="C39" s="24">
        <f>REDONDEAR(C38*(1-'Parámetros'!$B$7)^(1/12),0)</f>
        <v/>
      </c>
      <c r="D39" s="25">
        <f>C39*'Parámetros'!$B$6</f>
        <v/>
      </c>
      <c r="E39" s="25">
        <f>E38+D39</f>
        <v/>
      </c>
      <c r="F39" s="25">
        <f>MAX(0, MIN('Parámetros'!$B$15-G38, D39*'Parámetros'!$B$16))</f>
        <v/>
      </c>
      <c r="G39" s="25">
        <f>G38+F39</f>
        <v/>
      </c>
      <c r="H39" s="25">
        <f>H38+IF(J39&gt;J38,(J39-J38)*('Parámetros'!$B$12*'Parámetros'!$B$23*'Parámetros'!$B$21*'Parámetros'!$B$22*'Parámetros'!$B$24),0)</f>
        <v/>
      </c>
      <c r="I39" s="26">
        <f>E39+G39+H39</f>
        <v/>
      </c>
      <c r="J39" s="23">
        <f>ENTERO(I39/('Parámetros'!$B$10*(1+'Parámetros'!$B$13)^((36-1)/12)))</f>
        <v/>
      </c>
      <c r="K39" s="23">
        <f>J39*'Parámetros'!$B$12</f>
        <v/>
      </c>
      <c r="L39" s="23">
        <f>MAX(0,C39-K39)</f>
        <v/>
      </c>
      <c r="M39" s="25">
        <f>K39*('Parámetros'!$B$26*(1+'Parámetros'!$B$27)^((36-1)/12))</f>
        <v/>
      </c>
      <c r="N39" s="25">
        <f>N38+M39</f>
        <v/>
      </c>
      <c r="O39" s="25">
        <f>IF(36&lt;='Parámetros'!$B$19,0,G39*'Parámetros'!$B$17/12)</f>
        <v/>
      </c>
      <c r="P39" s="26">
        <f>D39+M39-O39</f>
        <v/>
      </c>
      <c r="Q39" s="26">
        <f>Q38+P39</f>
        <v/>
      </c>
    </row>
    <row r="40">
      <c r="A40" s="19" t="n">
        <v>37</v>
      </c>
      <c r="B40" s="19">
        <f>INT((37-1)/12)+1</f>
        <v/>
      </c>
      <c r="C40" s="20">
        <f>REDONDEAR(C39*(1-'Parámetros'!$B$7)^(1/12),0)</f>
        <v/>
      </c>
      <c r="D40" s="21">
        <f>C40*'Parámetros'!$B$6</f>
        <v/>
      </c>
      <c r="E40" s="21">
        <f>E39+D40</f>
        <v/>
      </c>
      <c r="F40" s="21">
        <f>MAX(0, MIN('Parámetros'!$B$15-G39, D40*'Parámetros'!$B$16))</f>
        <v/>
      </c>
      <c r="G40" s="21">
        <f>G39+F40</f>
        <v/>
      </c>
      <c r="H40" s="21">
        <f>H39+IF(J40&gt;J39,(J40-J39)*('Parámetros'!$B$12*'Parámetros'!$B$23*'Parámetros'!$B$21*'Parámetros'!$B$22*'Parámetros'!$B$24),0)</f>
        <v/>
      </c>
      <c r="I40" s="22">
        <f>E40+G40+H40</f>
        <v/>
      </c>
      <c r="J40" s="19">
        <f>ENTERO(I40/('Parámetros'!$B$10*(1+'Parámetros'!$B$13)^((37-1)/12)))</f>
        <v/>
      </c>
      <c r="K40" s="19">
        <f>J40*'Parámetros'!$B$12</f>
        <v/>
      </c>
      <c r="L40" s="19">
        <f>MAX(0,C40-K40)</f>
        <v/>
      </c>
      <c r="M40" s="21">
        <f>K40*('Parámetros'!$B$26*(1+'Parámetros'!$B$27)^((37-1)/12))</f>
        <v/>
      </c>
      <c r="N40" s="21">
        <f>N39+M40</f>
        <v/>
      </c>
      <c r="O40" s="21">
        <f>IF(37&lt;='Parámetros'!$B$19,0,G40*'Parámetros'!$B$17/12)</f>
        <v/>
      </c>
      <c r="P40" s="22">
        <f>D40+M40-O40</f>
        <v/>
      </c>
      <c r="Q40" s="22">
        <f>Q39+P40</f>
        <v/>
      </c>
    </row>
    <row r="41">
      <c r="A41" s="23" t="n">
        <v>38</v>
      </c>
      <c r="B41" s="23">
        <f>INT((38-1)/12)+1</f>
        <v/>
      </c>
      <c r="C41" s="24">
        <f>REDONDEAR(C40*(1-'Parámetros'!$B$7)^(1/12),0)</f>
        <v/>
      </c>
      <c r="D41" s="25">
        <f>C41*'Parámetros'!$B$6</f>
        <v/>
      </c>
      <c r="E41" s="25">
        <f>E40+D41</f>
        <v/>
      </c>
      <c r="F41" s="25">
        <f>MAX(0, MIN('Parámetros'!$B$15-G40, D41*'Parámetros'!$B$16))</f>
        <v/>
      </c>
      <c r="G41" s="25">
        <f>G40+F41</f>
        <v/>
      </c>
      <c r="H41" s="25">
        <f>H40+IF(J41&gt;J40,(J41-J40)*('Parámetros'!$B$12*'Parámetros'!$B$23*'Parámetros'!$B$21*'Parámetros'!$B$22*'Parámetros'!$B$24),0)</f>
        <v/>
      </c>
      <c r="I41" s="26">
        <f>E41+G41+H41</f>
        <v/>
      </c>
      <c r="J41" s="23">
        <f>ENTERO(I41/('Parámetros'!$B$10*(1+'Parámetros'!$B$13)^((38-1)/12)))</f>
        <v/>
      </c>
      <c r="K41" s="23">
        <f>J41*'Parámetros'!$B$12</f>
        <v/>
      </c>
      <c r="L41" s="23">
        <f>MAX(0,C41-K41)</f>
        <v/>
      </c>
      <c r="M41" s="25">
        <f>K41*('Parámetros'!$B$26*(1+'Parámetros'!$B$27)^((38-1)/12))</f>
        <v/>
      </c>
      <c r="N41" s="25">
        <f>N40+M41</f>
        <v/>
      </c>
      <c r="O41" s="25">
        <f>IF(38&lt;='Parámetros'!$B$19,0,G41*'Parámetros'!$B$17/12)</f>
        <v/>
      </c>
      <c r="P41" s="26">
        <f>D41+M41-O41</f>
        <v/>
      </c>
      <c r="Q41" s="26">
        <f>Q40+P41</f>
        <v/>
      </c>
    </row>
    <row r="42">
      <c r="A42" s="19" t="n">
        <v>39</v>
      </c>
      <c r="B42" s="19">
        <f>INT((39-1)/12)+1</f>
        <v/>
      </c>
      <c r="C42" s="20">
        <f>REDONDEAR(C41*(1-'Parámetros'!$B$7)^(1/12),0)</f>
        <v/>
      </c>
      <c r="D42" s="21">
        <f>C42*'Parámetros'!$B$6</f>
        <v/>
      </c>
      <c r="E42" s="21">
        <f>E41+D42</f>
        <v/>
      </c>
      <c r="F42" s="21">
        <f>MAX(0, MIN('Parámetros'!$B$15-G41, D42*'Parámetros'!$B$16))</f>
        <v/>
      </c>
      <c r="G42" s="21">
        <f>G41+F42</f>
        <v/>
      </c>
      <c r="H42" s="21">
        <f>H41+IF(J42&gt;J41,(J42-J41)*('Parámetros'!$B$12*'Parámetros'!$B$23*'Parámetros'!$B$21*'Parámetros'!$B$22*'Parámetros'!$B$24),0)</f>
        <v/>
      </c>
      <c r="I42" s="22">
        <f>E42+G42+H42</f>
        <v/>
      </c>
      <c r="J42" s="19">
        <f>ENTERO(I42/('Parámetros'!$B$10*(1+'Parámetros'!$B$13)^((39-1)/12)))</f>
        <v/>
      </c>
      <c r="K42" s="19">
        <f>J42*'Parámetros'!$B$12</f>
        <v/>
      </c>
      <c r="L42" s="19">
        <f>MAX(0,C42-K42)</f>
        <v/>
      </c>
      <c r="M42" s="21">
        <f>K42*('Parámetros'!$B$26*(1+'Parámetros'!$B$27)^((39-1)/12))</f>
        <v/>
      </c>
      <c r="N42" s="21">
        <f>N41+M42</f>
        <v/>
      </c>
      <c r="O42" s="21">
        <f>IF(39&lt;='Parámetros'!$B$19,0,G42*'Parámetros'!$B$17/12)</f>
        <v/>
      </c>
      <c r="P42" s="22">
        <f>D42+M42-O42</f>
        <v/>
      </c>
      <c r="Q42" s="22">
        <f>Q41+P42</f>
        <v/>
      </c>
    </row>
    <row r="43">
      <c r="A43" s="23" t="n">
        <v>40</v>
      </c>
      <c r="B43" s="23">
        <f>INT((40-1)/12)+1</f>
        <v/>
      </c>
      <c r="C43" s="24">
        <f>REDONDEAR(C42*(1-'Parámetros'!$B$7)^(1/12),0)</f>
        <v/>
      </c>
      <c r="D43" s="25">
        <f>C43*'Parámetros'!$B$6</f>
        <v/>
      </c>
      <c r="E43" s="25">
        <f>E42+D43</f>
        <v/>
      </c>
      <c r="F43" s="25">
        <f>MAX(0, MIN('Parámetros'!$B$15-G42, D43*'Parámetros'!$B$16))</f>
        <v/>
      </c>
      <c r="G43" s="25">
        <f>G42+F43</f>
        <v/>
      </c>
      <c r="H43" s="25">
        <f>H42+IF(J43&gt;J42,(J43-J42)*('Parámetros'!$B$12*'Parámetros'!$B$23*'Parámetros'!$B$21*'Parámetros'!$B$22*'Parámetros'!$B$24),0)</f>
        <v/>
      </c>
      <c r="I43" s="26">
        <f>E43+G43+H43</f>
        <v/>
      </c>
      <c r="J43" s="23">
        <f>ENTERO(I43/('Parámetros'!$B$10*(1+'Parámetros'!$B$13)^((40-1)/12)))</f>
        <v/>
      </c>
      <c r="K43" s="23">
        <f>J43*'Parámetros'!$B$12</f>
        <v/>
      </c>
      <c r="L43" s="23">
        <f>MAX(0,C43-K43)</f>
        <v/>
      </c>
      <c r="M43" s="25">
        <f>K43*('Parámetros'!$B$26*(1+'Parámetros'!$B$27)^((40-1)/12))</f>
        <v/>
      </c>
      <c r="N43" s="25">
        <f>N42+M43</f>
        <v/>
      </c>
      <c r="O43" s="25">
        <f>IF(40&lt;='Parámetros'!$B$19,0,G43*'Parámetros'!$B$17/12)</f>
        <v/>
      </c>
      <c r="P43" s="26">
        <f>D43+M43-O43</f>
        <v/>
      </c>
      <c r="Q43" s="26">
        <f>Q42+P43</f>
        <v/>
      </c>
    </row>
    <row r="44">
      <c r="A44" s="19" t="n">
        <v>41</v>
      </c>
      <c r="B44" s="19">
        <f>INT((41-1)/12)+1</f>
        <v/>
      </c>
      <c r="C44" s="20">
        <f>REDONDEAR(C43*(1-'Parámetros'!$B$7)^(1/12),0)</f>
        <v/>
      </c>
      <c r="D44" s="21">
        <f>C44*'Parámetros'!$B$6</f>
        <v/>
      </c>
      <c r="E44" s="21">
        <f>E43+D44</f>
        <v/>
      </c>
      <c r="F44" s="21">
        <f>MAX(0, MIN('Parámetros'!$B$15-G43, D44*'Parámetros'!$B$16))</f>
        <v/>
      </c>
      <c r="G44" s="21">
        <f>G43+F44</f>
        <v/>
      </c>
      <c r="H44" s="21">
        <f>H43+IF(J44&gt;J43,(J44-J43)*('Parámetros'!$B$12*'Parámetros'!$B$23*'Parámetros'!$B$21*'Parámetros'!$B$22*'Parámetros'!$B$24),0)</f>
        <v/>
      </c>
      <c r="I44" s="22">
        <f>E44+G44+H44</f>
        <v/>
      </c>
      <c r="J44" s="19">
        <f>ENTERO(I44/('Parámetros'!$B$10*(1+'Parámetros'!$B$13)^((41-1)/12)))</f>
        <v/>
      </c>
      <c r="K44" s="19">
        <f>J44*'Parámetros'!$B$12</f>
        <v/>
      </c>
      <c r="L44" s="19">
        <f>MAX(0,C44-K44)</f>
        <v/>
      </c>
      <c r="M44" s="21">
        <f>K44*('Parámetros'!$B$26*(1+'Parámetros'!$B$27)^((41-1)/12))</f>
        <v/>
      </c>
      <c r="N44" s="21">
        <f>N43+M44</f>
        <v/>
      </c>
      <c r="O44" s="21">
        <f>IF(41&lt;='Parámetros'!$B$19,0,G44*'Parámetros'!$B$17/12)</f>
        <v/>
      </c>
      <c r="P44" s="22">
        <f>D44+M44-O44</f>
        <v/>
      </c>
      <c r="Q44" s="22">
        <f>Q43+P44</f>
        <v/>
      </c>
    </row>
    <row r="45">
      <c r="A45" s="23" t="n">
        <v>42</v>
      </c>
      <c r="B45" s="23">
        <f>INT((42-1)/12)+1</f>
        <v/>
      </c>
      <c r="C45" s="24">
        <f>REDONDEAR(C44*(1-'Parámetros'!$B$7)^(1/12),0)</f>
        <v/>
      </c>
      <c r="D45" s="25">
        <f>C45*'Parámetros'!$B$6</f>
        <v/>
      </c>
      <c r="E45" s="25">
        <f>E44+D45</f>
        <v/>
      </c>
      <c r="F45" s="25">
        <f>MAX(0, MIN('Parámetros'!$B$15-G44, D45*'Parámetros'!$B$16))</f>
        <v/>
      </c>
      <c r="G45" s="25">
        <f>G44+F45</f>
        <v/>
      </c>
      <c r="H45" s="25">
        <f>H44+IF(J45&gt;J44,(J45-J44)*('Parámetros'!$B$12*'Parámetros'!$B$23*'Parámetros'!$B$21*'Parámetros'!$B$22*'Parámetros'!$B$24),0)</f>
        <v/>
      </c>
      <c r="I45" s="26">
        <f>E45+G45+H45</f>
        <v/>
      </c>
      <c r="J45" s="23">
        <f>ENTERO(I45/('Parámetros'!$B$10*(1+'Parámetros'!$B$13)^((42-1)/12)))</f>
        <v/>
      </c>
      <c r="K45" s="23">
        <f>J45*'Parámetros'!$B$12</f>
        <v/>
      </c>
      <c r="L45" s="23">
        <f>MAX(0,C45-K45)</f>
        <v/>
      </c>
      <c r="M45" s="25">
        <f>K45*('Parámetros'!$B$26*(1+'Parámetros'!$B$27)^((42-1)/12))</f>
        <v/>
      </c>
      <c r="N45" s="25">
        <f>N44+M45</f>
        <v/>
      </c>
      <c r="O45" s="25">
        <f>IF(42&lt;='Parámetros'!$B$19,0,G45*'Parámetros'!$B$17/12)</f>
        <v/>
      </c>
      <c r="P45" s="26">
        <f>D45+M45-O45</f>
        <v/>
      </c>
      <c r="Q45" s="26">
        <f>Q44+P45</f>
        <v/>
      </c>
    </row>
    <row r="46">
      <c r="A46" s="19" t="n">
        <v>43</v>
      </c>
      <c r="B46" s="19">
        <f>INT((43-1)/12)+1</f>
        <v/>
      </c>
      <c r="C46" s="20">
        <f>REDONDEAR(C45*(1-'Parámetros'!$B$7)^(1/12),0)</f>
        <v/>
      </c>
      <c r="D46" s="21">
        <f>C46*'Parámetros'!$B$6</f>
        <v/>
      </c>
      <c r="E46" s="21">
        <f>E45+D46</f>
        <v/>
      </c>
      <c r="F46" s="21">
        <f>MAX(0, MIN('Parámetros'!$B$15-G45, D46*'Parámetros'!$B$16))</f>
        <v/>
      </c>
      <c r="G46" s="21">
        <f>G45+F46</f>
        <v/>
      </c>
      <c r="H46" s="21">
        <f>H45+IF(J46&gt;J45,(J46-J45)*('Parámetros'!$B$12*'Parámetros'!$B$23*'Parámetros'!$B$21*'Parámetros'!$B$22*'Parámetros'!$B$24),0)</f>
        <v/>
      </c>
      <c r="I46" s="22">
        <f>E46+G46+H46</f>
        <v/>
      </c>
      <c r="J46" s="19">
        <f>ENTERO(I46/('Parámetros'!$B$10*(1+'Parámetros'!$B$13)^((43-1)/12)))</f>
        <v/>
      </c>
      <c r="K46" s="19">
        <f>J46*'Parámetros'!$B$12</f>
        <v/>
      </c>
      <c r="L46" s="19">
        <f>MAX(0,C46-K46)</f>
        <v/>
      </c>
      <c r="M46" s="21">
        <f>K46*('Parámetros'!$B$26*(1+'Parámetros'!$B$27)^((43-1)/12))</f>
        <v/>
      </c>
      <c r="N46" s="21">
        <f>N45+M46</f>
        <v/>
      </c>
      <c r="O46" s="21">
        <f>IF(43&lt;='Parámetros'!$B$19,0,G46*'Parámetros'!$B$17/12)</f>
        <v/>
      </c>
      <c r="P46" s="22">
        <f>D46+M46-O46</f>
        <v/>
      </c>
      <c r="Q46" s="22">
        <f>Q45+P46</f>
        <v/>
      </c>
    </row>
    <row r="47">
      <c r="A47" s="23" t="n">
        <v>44</v>
      </c>
      <c r="B47" s="23">
        <f>INT((44-1)/12)+1</f>
        <v/>
      </c>
      <c r="C47" s="24">
        <f>REDONDEAR(C46*(1-'Parámetros'!$B$7)^(1/12),0)</f>
        <v/>
      </c>
      <c r="D47" s="25">
        <f>C47*'Parámetros'!$B$6</f>
        <v/>
      </c>
      <c r="E47" s="25">
        <f>E46+D47</f>
        <v/>
      </c>
      <c r="F47" s="25">
        <f>MAX(0, MIN('Parámetros'!$B$15-G46, D47*'Parámetros'!$B$16))</f>
        <v/>
      </c>
      <c r="G47" s="25">
        <f>G46+F47</f>
        <v/>
      </c>
      <c r="H47" s="25">
        <f>H46+IF(J47&gt;J46,(J47-J46)*('Parámetros'!$B$12*'Parámetros'!$B$23*'Parámetros'!$B$21*'Parámetros'!$B$22*'Parámetros'!$B$24),0)</f>
        <v/>
      </c>
      <c r="I47" s="26">
        <f>E47+G47+H47</f>
        <v/>
      </c>
      <c r="J47" s="23">
        <f>ENTERO(I47/('Parámetros'!$B$10*(1+'Parámetros'!$B$13)^((44-1)/12)))</f>
        <v/>
      </c>
      <c r="K47" s="23">
        <f>J47*'Parámetros'!$B$12</f>
        <v/>
      </c>
      <c r="L47" s="23">
        <f>MAX(0,C47-K47)</f>
        <v/>
      </c>
      <c r="M47" s="25">
        <f>K47*('Parámetros'!$B$26*(1+'Parámetros'!$B$27)^((44-1)/12))</f>
        <v/>
      </c>
      <c r="N47" s="25">
        <f>N46+M47</f>
        <v/>
      </c>
      <c r="O47" s="25">
        <f>IF(44&lt;='Parámetros'!$B$19,0,G47*'Parámetros'!$B$17/12)</f>
        <v/>
      </c>
      <c r="P47" s="26">
        <f>D47+M47-O47</f>
        <v/>
      </c>
      <c r="Q47" s="26">
        <f>Q46+P47</f>
        <v/>
      </c>
    </row>
    <row r="48">
      <c r="A48" s="19" t="n">
        <v>45</v>
      </c>
      <c r="B48" s="19">
        <f>INT((45-1)/12)+1</f>
        <v/>
      </c>
      <c r="C48" s="20">
        <f>REDONDEAR(C47*(1-'Parámetros'!$B$7)^(1/12),0)</f>
        <v/>
      </c>
      <c r="D48" s="21">
        <f>C48*'Parámetros'!$B$6</f>
        <v/>
      </c>
      <c r="E48" s="21">
        <f>E47+D48</f>
        <v/>
      </c>
      <c r="F48" s="21">
        <f>MAX(0, MIN('Parámetros'!$B$15-G47, D48*'Parámetros'!$B$16))</f>
        <v/>
      </c>
      <c r="G48" s="21">
        <f>G47+F48</f>
        <v/>
      </c>
      <c r="H48" s="21">
        <f>H47+IF(J48&gt;J47,(J48-J47)*('Parámetros'!$B$12*'Parámetros'!$B$23*'Parámetros'!$B$21*'Parámetros'!$B$22*'Parámetros'!$B$24),0)</f>
        <v/>
      </c>
      <c r="I48" s="22">
        <f>E48+G48+H48</f>
        <v/>
      </c>
      <c r="J48" s="19">
        <f>ENTERO(I48/('Parámetros'!$B$10*(1+'Parámetros'!$B$13)^((45-1)/12)))</f>
        <v/>
      </c>
      <c r="K48" s="19">
        <f>J48*'Parámetros'!$B$12</f>
        <v/>
      </c>
      <c r="L48" s="19">
        <f>MAX(0,C48-K48)</f>
        <v/>
      </c>
      <c r="M48" s="21">
        <f>K48*('Parámetros'!$B$26*(1+'Parámetros'!$B$27)^((45-1)/12))</f>
        <v/>
      </c>
      <c r="N48" s="21">
        <f>N47+M48</f>
        <v/>
      </c>
      <c r="O48" s="21">
        <f>IF(45&lt;='Parámetros'!$B$19,0,G48*'Parámetros'!$B$17/12)</f>
        <v/>
      </c>
      <c r="P48" s="22">
        <f>D48+M48-O48</f>
        <v/>
      </c>
      <c r="Q48" s="22">
        <f>Q47+P48</f>
        <v/>
      </c>
    </row>
    <row r="49">
      <c r="A49" s="23" t="n">
        <v>46</v>
      </c>
      <c r="B49" s="23">
        <f>INT((46-1)/12)+1</f>
        <v/>
      </c>
      <c r="C49" s="24">
        <f>REDONDEAR(C48*(1-'Parámetros'!$B$7)^(1/12),0)</f>
        <v/>
      </c>
      <c r="D49" s="25">
        <f>C49*'Parámetros'!$B$6</f>
        <v/>
      </c>
      <c r="E49" s="25">
        <f>E48+D49</f>
        <v/>
      </c>
      <c r="F49" s="25">
        <f>MAX(0, MIN('Parámetros'!$B$15-G48, D49*'Parámetros'!$B$16))</f>
        <v/>
      </c>
      <c r="G49" s="25">
        <f>G48+F49</f>
        <v/>
      </c>
      <c r="H49" s="25">
        <f>H48+IF(J49&gt;J48,(J49-J48)*('Parámetros'!$B$12*'Parámetros'!$B$23*'Parámetros'!$B$21*'Parámetros'!$B$22*'Parámetros'!$B$24),0)</f>
        <v/>
      </c>
      <c r="I49" s="26">
        <f>E49+G49+H49</f>
        <v/>
      </c>
      <c r="J49" s="23">
        <f>ENTERO(I49/('Parámetros'!$B$10*(1+'Parámetros'!$B$13)^((46-1)/12)))</f>
        <v/>
      </c>
      <c r="K49" s="23">
        <f>J49*'Parámetros'!$B$12</f>
        <v/>
      </c>
      <c r="L49" s="23">
        <f>MAX(0,C49-K49)</f>
        <v/>
      </c>
      <c r="M49" s="25">
        <f>K49*('Parámetros'!$B$26*(1+'Parámetros'!$B$27)^((46-1)/12))</f>
        <v/>
      </c>
      <c r="N49" s="25">
        <f>N48+M49</f>
        <v/>
      </c>
      <c r="O49" s="25">
        <f>IF(46&lt;='Parámetros'!$B$19,0,G49*'Parámetros'!$B$17/12)</f>
        <v/>
      </c>
      <c r="P49" s="26">
        <f>D49+M49-O49</f>
        <v/>
      </c>
      <c r="Q49" s="26">
        <f>Q48+P49</f>
        <v/>
      </c>
    </row>
    <row r="50">
      <c r="A50" s="19" t="n">
        <v>47</v>
      </c>
      <c r="B50" s="19">
        <f>INT((47-1)/12)+1</f>
        <v/>
      </c>
      <c r="C50" s="20">
        <f>REDONDEAR(C49*(1-'Parámetros'!$B$7)^(1/12),0)</f>
        <v/>
      </c>
      <c r="D50" s="21">
        <f>C50*'Parámetros'!$B$6</f>
        <v/>
      </c>
      <c r="E50" s="21">
        <f>E49+D50</f>
        <v/>
      </c>
      <c r="F50" s="21">
        <f>MAX(0, MIN('Parámetros'!$B$15-G49, D50*'Parámetros'!$B$16))</f>
        <v/>
      </c>
      <c r="G50" s="21">
        <f>G49+F50</f>
        <v/>
      </c>
      <c r="H50" s="21">
        <f>H49+IF(J50&gt;J49,(J50-J49)*('Parámetros'!$B$12*'Parámetros'!$B$23*'Parámetros'!$B$21*'Parámetros'!$B$22*'Parámetros'!$B$24),0)</f>
        <v/>
      </c>
      <c r="I50" s="22">
        <f>E50+G50+H50</f>
        <v/>
      </c>
      <c r="J50" s="19">
        <f>ENTERO(I50/('Parámetros'!$B$10*(1+'Parámetros'!$B$13)^((47-1)/12)))</f>
        <v/>
      </c>
      <c r="K50" s="19">
        <f>J50*'Parámetros'!$B$12</f>
        <v/>
      </c>
      <c r="L50" s="19">
        <f>MAX(0,C50-K50)</f>
        <v/>
      </c>
      <c r="M50" s="21">
        <f>K50*('Parámetros'!$B$26*(1+'Parámetros'!$B$27)^((47-1)/12))</f>
        <v/>
      </c>
      <c r="N50" s="21">
        <f>N49+M50</f>
        <v/>
      </c>
      <c r="O50" s="21">
        <f>IF(47&lt;='Parámetros'!$B$19,0,G50*'Parámetros'!$B$17/12)</f>
        <v/>
      </c>
      <c r="P50" s="22">
        <f>D50+M50-O50</f>
        <v/>
      </c>
      <c r="Q50" s="22">
        <f>Q49+P50</f>
        <v/>
      </c>
    </row>
    <row r="51">
      <c r="A51" s="23" t="n">
        <v>48</v>
      </c>
      <c r="B51" s="23">
        <f>INT((48-1)/12)+1</f>
        <v/>
      </c>
      <c r="C51" s="24">
        <f>REDONDEAR(C50*(1-'Parámetros'!$B$7)^(1/12),0)</f>
        <v/>
      </c>
      <c r="D51" s="25">
        <f>C51*'Parámetros'!$B$6</f>
        <v/>
      </c>
      <c r="E51" s="25">
        <f>E50+D51</f>
        <v/>
      </c>
      <c r="F51" s="25">
        <f>MAX(0, MIN('Parámetros'!$B$15-G50, D51*'Parámetros'!$B$16))</f>
        <v/>
      </c>
      <c r="G51" s="25">
        <f>G50+F51</f>
        <v/>
      </c>
      <c r="H51" s="25">
        <f>H50+IF(J51&gt;J50,(J51-J50)*('Parámetros'!$B$12*'Parámetros'!$B$23*'Parámetros'!$B$21*'Parámetros'!$B$22*'Parámetros'!$B$24),0)</f>
        <v/>
      </c>
      <c r="I51" s="26">
        <f>E51+G51+H51</f>
        <v/>
      </c>
      <c r="J51" s="23">
        <f>ENTERO(I51/('Parámetros'!$B$10*(1+'Parámetros'!$B$13)^((48-1)/12)))</f>
        <v/>
      </c>
      <c r="K51" s="23">
        <f>J51*'Parámetros'!$B$12</f>
        <v/>
      </c>
      <c r="L51" s="23">
        <f>MAX(0,C51-K51)</f>
        <v/>
      </c>
      <c r="M51" s="25">
        <f>K51*('Parámetros'!$B$26*(1+'Parámetros'!$B$27)^((48-1)/12))</f>
        <v/>
      </c>
      <c r="N51" s="25">
        <f>N50+M51</f>
        <v/>
      </c>
      <c r="O51" s="25">
        <f>IF(48&lt;='Parámetros'!$B$19,0,G51*'Parámetros'!$B$17/12)</f>
        <v/>
      </c>
      <c r="P51" s="26">
        <f>D51+M51-O51</f>
        <v/>
      </c>
      <c r="Q51" s="26">
        <f>Q50+P51</f>
        <v/>
      </c>
    </row>
    <row r="52">
      <c r="A52" s="19" t="n">
        <v>49</v>
      </c>
      <c r="B52" s="19">
        <f>INT((49-1)/12)+1</f>
        <v/>
      </c>
      <c r="C52" s="20">
        <f>REDONDEAR(C51*(1-'Parámetros'!$B$7)^(1/12),0)</f>
        <v/>
      </c>
      <c r="D52" s="21">
        <f>C52*'Parámetros'!$B$6</f>
        <v/>
      </c>
      <c r="E52" s="21">
        <f>E51+D52</f>
        <v/>
      </c>
      <c r="F52" s="21">
        <f>MAX(0, MIN('Parámetros'!$B$15-G51, D52*'Parámetros'!$B$16))</f>
        <v/>
      </c>
      <c r="G52" s="21">
        <f>G51+F52</f>
        <v/>
      </c>
      <c r="H52" s="21">
        <f>H51+IF(J52&gt;J51,(J52-J51)*('Parámetros'!$B$12*'Parámetros'!$B$23*'Parámetros'!$B$21*'Parámetros'!$B$22*'Parámetros'!$B$24),0)</f>
        <v/>
      </c>
      <c r="I52" s="22">
        <f>E52+G52+H52</f>
        <v/>
      </c>
      <c r="J52" s="19">
        <f>ENTERO(I52/('Parámetros'!$B$10*(1+'Parámetros'!$B$13)^((49-1)/12)))</f>
        <v/>
      </c>
      <c r="K52" s="19">
        <f>J52*'Parámetros'!$B$12</f>
        <v/>
      </c>
      <c r="L52" s="19">
        <f>MAX(0,C52-K52)</f>
        <v/>
      </c>
      <c r="M52" s="21">
        <f>K52*('Parámetros'!$B$26*(1+'Parámetros'!$B$27)^((49-1)/12))</f>
        <v/>
      </c>
      <c r="N52" s="21">
        <f>N51+M52</f>
        <v/>
      </c>
      <c r="O52" s="21">
        <f>IF(49&lt;='Parámetros'!$B$19,0,G52*'Parámetros'!$B$17/12)</f>
        <v/>
      </c>
      <c r="P52" s="22">
        <f>D52+M52-O52</f>
        <v/>
      </c>
      <c r="Q52" s="22">
        <f>Q51+P52</f>
        <v/>
      </c>
    </row>
    <row r="53">
      <c r="A53" s="23" t="n">
        <v>50</v>
      </c>
      <c r="B53" s="23">
        <f>INT((50-1)/12)+1</f>
        <v/>
      </c>
      <c r="C53" s="24">
        <f>REDONDEAR(C52*(1-'Parámetros'!$B$7)^(1/12),0)</f>
        <v/>
      </c>
      <c r="D53" s="25">
        <f>C53*'Parámetros'!$B$6</f>
        <v/>
      </c>
      <c r="E53" s="25">
        <f>E52+D53</f>
        <v/>
      </c>
      <c r="F53" s="25">
        <f>MAX(0, MIN('Parámetros'!$B$15-G52, D53*'Parámetros'!$B$16))</f>
        <v/>
      </c>
      <c r="G53" s="25">
        <f>G52+F53</f>
        <v/>
      </c>
      <c r="H53" s="25">
        <f>H52+IF(J53&gt;J52,(J53-J52)*('Parámetros'!$B$12*'Parámetros'!$B$23*'Parámetros'!$B$21*'Parámetros'!$B$22*'Parámetros'!$B$24),0)</f>
        <v/>
      </c>
      <c r="I53" s="26">
        <f>E53+G53+H53</f>
        <v/>
      </c>
      <c r="J53" s="23">
        <f>ENTERO(I53/('Parámetros'!$B$10*(1+'Parámetros'!$B$13)^((50-1)/12)))</f>
        <v/>
      </c>
      <c r="K53" s="23">
        <f>J53*'Parámetros'!$B$12</f>
        <v/>
      </c>
      <c r="L53" s="23">
        <f>MAX(0,C53-K53)</f>
        <v/>
      </c>
      <c r="M53" s="25">
        <f>K53*('Parámetros'!$B$26*(1+'Parámetros'!$B$27)^((50-1)/12))</f>
        <v/>
      </c>
      <c r="N53" s="25">
        <f>N52+M53</f>
        <v/>
      </c>
      <c r="O53" s="25">
        <f>IF(50&lt;='Parámetros'!$B$19,0,G53*'Parámetros'!$B$17/12)</f>
        <v/>
      </c>
      <c r="P53" s="26">
        <f>D53+M53-O53</f>
        <v/>
      </c>
      <c r="Q53" s="26">
        <f>Q52+P53</f>
        <v/>
      </c>
    </row>
    <row r="54">
      <c r="A54" s="19" t="n">
        <v>51</v>
      </c>
      <c r="B54" s="19">
        <f>INT((51-1)/12)+1</f>
        <v/>
      </c>
      <c r="C54" s="20">
        <f>REDONDEAR(C53*(1-'Parámetros'!$B$7)^(1/12),0)</f>
        <v/>
      </c>
      <c r="D54" s="21">
        <f>C54*'Parámetros'!$B$6</f>
        <v/>
      </c>
      <c r="E54" s="21">
        <f>E53+D54</f>
        <v/>
      </c>
      <c r="F54" s="21">
        <f>MAX(0, MIN('Parámetros'!$B$15-G53, D54*'Parámetros'!$B$16))</f>
        <v/>
      </c>
      <c r="G54" s="21">
        <f>G53+F54</f>
        <v/>
      </c>
      <c r="H54" s="21">
        <f>H53+IF(J54&gt;J53,(J54-J53)*('Parámetros'!$B$12*'Parámetros'!$B$23*'Parámetros'!$B$21*'Parámetros'!$B$22*'Parámetros'!$B$24),0)</f>
        <v/>
      </c>
      <c r="I54" s="22">
        <f>E54+G54+H54</f>
        <v/>
      </c>
      <c r="J54" s="19">
        <f>ENTERO(I54/('Parámetros'!$B$10*(1+'Parámetros'!$B$13)^((51-1)/12)))</f>
        <v/>
      </c>
      <c r="K54" s="19">
        <f>J54*'Parámetros'!$B$12</f>
        <v/>
      </c>
      <c r="L54" s="19">
        <f>MAX(0,C54-K54)</f>
        <v/>
      </c>
      <c r="M54" s="21">
        <f>K54*('Parámetros'!$B$26*(1+'Parámetros'!$B$27)^((51-1)/12))</f>
        <v/>
      </c>
      <c r="N54" s="21">
        <f>N53+M54</f>
        <v/>
      </c>
      <c r="O54" s="21">
        <f>IF(51&lt;='Parámetros'!$B$19,0,G54*'Parámetros'!$B$17/12)</f>
        <v/>
      </c>
      <c r="P54" s="22">
        <f>D54+M54-O54</f>
        <v/>
      </c>
      <c r="Q54" s="22">
        <f>Q53+P54</f>
        <v/>
      </c>
    </row>
    <row r="55">
      <c r="A55" s="23" t="n">
        <v>52</v>
      </c>
      <c r="B55" s="23">
        <f>INT((52-1)/12)+1</f>
        <v/>
      </c>
      <c r="C55" s="24">
        <f>REDONDEAR(C54*(1-'Parámetros'!$B$7)^(1/12),0)</f>
        <v/>
      </c>
      <c r="D55" s="25">
        <f>C55*'Parámetros'!$B$6</f>
        <v/>
      </c>
      <c r="E55" s="25">
        <f>E54+D55</f>
        <v/>
      </c>
      <c r="F55" s="25">
        <f>MAX(0, MIN('Parámetros'!$B$15-G54, D55*'Parámetros'!$B$16))</f>
        <v/>
      </c>
      <c r="G55" s="25">
        <f>G54+F55</f>
        <v/>
      </c>
      <c r="H55" s="25">
        <f>H54+IF(J55&gt;J54,(J55-J54)*('Parámetros'!$B$12*'Parámetros'!$B$23*'Parámetros'!$B$21*'Parámetros'!$B$22*'Parámetros'!$B$24),0)</f>
        <v/>
      </c>
      <c r="I55" s="26">
        <f>E55+G55+H55</f>
        <v/>
      </c>
      <c r="J55" s="23">
        <f>ENTERO(I55/('Parámetros'!$B$10*(1+'Parámetros'!$B$13)^((52-1)/12)))</f>
        <v/>
      </c>
      <c r="K55" s="23">
        <f>J55*'Parámetros'!$B$12</f>
        <v/>
      </c>
      <c r="L55" s="23">
        <f>MAX(0,C55-K55)</f>
        <v/>
      </c>
      <c r="M55" s="25">
        <f>K55*('Parámetros'!$B$26*(1+'Parámetros'!$B$27)^((52-1)/12))</f>
        <v/>
      </c>
      <c r="N55" s="25">
        <f>N54+M55</f>
        <v/>
      </c>
      <c r="O55" s="25">
        <f>IF(52&lt;='Parámetros'!$B$19,0,G55*'Parámetros'!$B$17/12)</f>
        <v/>
      </c>
      <c r="P55" s="26">
        <f>D55+M55-O55</f>
        <v/>
      </c>
      <c r="Q55" s="26">
        <f>Q54+P55</f>
        <v/>
      </c>
    </row>
    <row r="56">
      <c r="A56" s="19" t="n">
        <v>53</v>
      </c>
      <c r="B56" s="19">
        <f>INT((53-1)/12)+1</f>
        <v/>
      </c>
      <c r="C56" s="20">
        <f>REDONDEAR(C55*(1-'Parámetros'!$B$7)^(1/12),0)</f>
        <v/>
      </c>
      <c r="D56" s="21">
        <f>C56*'Parámetros'!$B$6</f>
        <v/>
      </c>
      <c r="E56" s="21">
        <f>E55+D56</f>
        <v/>
      </c>
      <c r="F56" s="21">
        <f>MAX(0, MIN('Parámetros'!$B$15-G55, D56*'Parámetros'!$B$16))</f>
        <v/>
      </c>
      <c r="G56" s="21">
        <f>G55+F56</f>
        <v/>
      </c>
      <c r="H56" s="21">
        <f>H55+IF(J56&gt;J55,(J56-J55)*('Parámetros'!$B$12*'Parámetros'!$B$23*'Parámetros'!$B$21*'Parámetros'!$B$22*'Parámetros'!$B$24),0)</f>
        <v/>
      </c>
      <c r="I56" s="22">
        <f>E56+G56+H56</f>
        <v/>
      </c>
      <c r="J56" s="19">
        <f>ENTERO(I56/('Parámetros'!$B$10*(1+'Parámetros'!$B$13)^((53-1)/12)))</f>
        <v/>
      </c>
      <c r="K56" s="19">
        <f>J56*'Parámetros'!$B$12</f>
        <v/>
      </c>
      <c r="L56" s="19">
        <f>MAX(0,C56-K56)</f>
        <v/>
      </c>
      <c r="M56" s="21">
        <f>K56*('Parámetros'!$B$26*(1+'Parámetros'!$B$27)^((53-1)/12))</f>
        <v/>
      </c>
      <c r="N56" s="21">
        <f>N55+M56</f>
        <v/>
      </c>
      <c r="O56" s="21">
        <f>IF(53&lt;='Parámetros'!$B$19,0,G56*'Parámetros'!$B$17/12)</f>
        <v/>
      </c>
      <c r="P56" s="22">
        <f>D56+M56-O56</f>
        <v/>
      </c>
      <c r="Q56" s="22">
        <f>Q55+P56</f>
        <v/>
      </c>
    </row>
    <row r="57">
      <c r="A57" s="23" t="n">
        <v>54</v>
      </c>
      <c r="B57" s="23">
        <f>INT((54-1)/12)+1</f>
        <v/>
      </c>
      <c r="C57" s="24">
        <f>REDONDEAR(C56*(1-'Parámetros'!$B$7)^(1/12),0)</f>
        <v/>
      </c>
      <c r="D57" s="25">
        <f>C57*'Parámetros'!$B$6</f>
        <v/>
      </c>
      <c r="E57" s="25">
        <f>E56+D57</f>
        <v/>
      </c>
      <c r="F57" s="25">
        <f>MAX(0, MIN('Parámetros'!$B$15-G56, D57*'Parámetros'!$B$16))</f>
        <v/>
      </c>
      <c r="G57" s="25">
        <f>G56+F57</f>
        <v/>
      </c>
      <c r="H57" s="25">
        <f>H56+IF(J57&gt;J56,(J57-J56)*('Parámetros'!$B$12*'Parámetros'!$B$23*'Parámetros'!$B$21*'Parámetros'!$B$22*'Parámetros'!$B$24),0)</f>
        <v/>
      </c>
      <c r="I57" s="26">
        <f>E57+G57+H57</f>
        <v/>
      </c>
      <c r="J57" s="23">
        <f>ENTERO(I57/('Parámetros'!$B$10*(1+'Parámetros'!$B$13)^((54-1)/12)))</f>
        <v/>
      </c>
      <c r="K57" s="23">
        <f>J57*'Parámetros'!$B$12</f>
        <v/>
      </c>
      <c r="L57" s="23">
        <f>MAX(0,C57-K57)</f>
        <v/>
      </c>
      <c r="M57" s="25">
        <f>K57*('Parámetros'!$B$26*(1+'Parámetros'!$B$27)^((54-1)/12))</f>
        <v/>
      </c>
      <c r="N57" s="25">
        <f>N56+M57</f>
        <v/>
      </c>
      <c r="O57" s="25">
        <f>IF(54&lt;='Parámetros'!$B$19,0,G57*'Parámetros'!$B$17/12)</f>
        <v/>
      </c>
      <c r="P57" s="26">
        <f>D57+M57-O57</f>
        <v/>
      </c>
      <c r="Q57" s="26">
        <f>Q56+P57</f>
        <v/>
      </c>
    </row>
    <row r="58">
      <c r="A58" s="19" t="n">
        <v>55</v>
      </c>
      <c r="B58" s="19">
        <f>INT((55-1)/12)+1</f>
        <v/>
      </c>
      <c r="C58" s="20">
        <f>REDONDEAR(C57*(1-'Parámetros'!$B$7)^(1/12),0)</f>
        <v/>
      </c>
      <c r="D58" s="21">
        <f>C58*'Parámetros'!$B$6</f>
        <v/>
      </c>
      <c r="E58" s="21">
        <f>E57+D58</f>
        <v/>
      </c>
      <c r="F58" s="21">
        <f>MAX(0, MIN('Parámetros'!$B$15-G57, D58*'Parámetros'!$B$16))</f>
        <v/>
      </c>
      <c r="G58" s="21">
        <f>G57+F58</f>
        <v/>
      </c>
      <c r="H58" s="21">
        <f>H57+IF(J58&gt;J57,(J58-J57)*('Parámetros'!$B$12*'Parámetros'!$B$23*'Parámetros'!$B$21*'Parámetros'!$B$22*'Parámetros'!$B$24),0)</f>
        <v/>
      </c>
      <c r="I58" s="22">
        <f>E58+G58+H58</f>
        <v/>
      </c>
      <c r="J58" s="19">
        <f>ENTERO(I58/('Parámetros'!$B$10*(1+'Parámetros'!$B$13)^((55-1)/12)))</f>
        <v/>
      </c>
      <c r="K58" s="19">
        <f>J58*'Parámetros'!$B$12</f>
        <v/>
      </c>
      <c r="L58" s="19">
        <f>MAX(0,C58-K58)</f>
        <v/>
      </c>
      <c r="M58" s="21">
        <f>K58*('Parámetros'!$B$26*(1+'Parámetros'!$B$27)^((55-1)/12))</f>
        <v/>
      </c>
      <c r="N58" s="21">
        <f>N57+M58</f>
        <v/>
      </c>
      <c r="O58" s="21">
        <f>IF(55&lt;='Parámetros'!$B$19,0,G58*'Parámetros'!$B$17/12)</f>
        <v/>
      </c>
      <c r="P58" s="22">
        <f>D58+M58-O58</f>
        <v/>
      </c>
      <c r="Q58" s="22">
        <f>Q57+P58</f>
        <v/>
      </c>
    </row>
    <row r="59">
      <c r="A59" s="23" t="n">
        <v>56</v>
      </c>
      <c r="B59" s="23">
        <f>INT((56-1)/12)+1</f>
        <v/>
      </c>
      <c r="C59" s="24">
        <f>REDONDEAR(C58*(1-'Parámetros'!$B$7)^(1/12),0)</f>
        <v/>
      </c>
      <c r="D59" s="25">
        <f>C59*'Parámetros'!$B$6</f>
        <v/>
      </c>
      <c r="E59" s="25">
        <f>E58+D59</f>
        <v/>
      </c>
      <c r="F59" s="25">
        <f>MAX(0, MIN('Parámetros'!$B$15-G58, D59*'Parámetros'!$B$16))</f>
        <v/>
      </c>
      <c r="G59" s="25">
        <f>G58+F59</f>
        <v/>
      </c>
      <c r="H59" s="25">
        <f>H58+IF(J59&gt;J58,(J59-J58)*('Parámetros'!$B$12*'Parámetros'!$B$23*'Parámetros'!$B$21*'Parámetros'!$B$22*'Parámetros'!$B$24),0)</f>
        <v/>
      </c>
      <c r="I59" s="26">
        <f>E59+G59+H59</f>
        <v/>
      </c>
      <c r="J59" s="23">
        <f>ENTERO(I59/('Parámetros'!$B$10*(1+'Parámetros'!$B$13)^((56-1)/12)))</f>
        <v/>
      </c>
      <c r="K59" s="23">
        <f>J59*'Parámetros'!$B$12</f>
        <v/>
      </c>
      <c r="L59" s="23">
        <f>MAX(0,C59-K59)</f>
        <v/>
      </c>
      <c r="M59" s="25">
        <f>K59*('Parámetros'!$B$26*(1+'Parámetros'!$B$27)^((56-1)/12))</f>
        <v/>
      </c>
      <c r="N59" s="25">
        <f>N58+M59</f>
        <v/>
      </c>
      <c r="O59" s="25">
        <f>IF(56&lt;='Parámetros'!$B$19,0,G59*'Parámetros'!$B$17/12)</f>
        <v/>
      </c>
      <c r="P59" s="26">
        <f>D59+M59-O59</f>
        <v/>
      </c>
      <c r="Q59" s="26">
        <f>Q58+P59</f>
        <v/>
      </c>
    </row>
    <row r="60">
      <c r="A60" s="19" t="n">
        <v>57</v>
      </c>
      <c r="B60" s="19">
        <f>INT((57-1)/12)+1</f>
        <v/>
      </c>
      <c r="C60" s="20">
        <f>REDONDEAR(C59*(1-'Parámetros'!$B$7)^(1/12),0)</f>
        <v/>
      </c>
      <c r="D60" s="21">
        <f>C60*'Parámetros'!$B$6</f>
        <v/>
      </c>
      <c r="E60" s="21">
        <f>E59+D60</f>
        <v/>
      </c>
      <c r="F60" s="21">
        <f>MAX(0, MIN('Parámetros'!$B$15-G59, D60*'Parámetros'!$B$16))</f>
        <v/>
      </c>
      <c r="G60" s="21">
        <f>G59+F60</f>
        <v/>
      </c>
      <c r="H60" s="21">
        <f>H59+IF(J60&gt;J59,(J60-J59)*('Parámetros'!$B$12*'Parámetros'!$B$23*'Parámetros'!$B$21*'Parámetros'!$B$22*'Parámetros'!$B$24),0)</f>
        <v/>
      </c>
      <c r="I60" s="22">
        <f>E60+G60+H60</f>
        <v/>
      </c>
      <c r="J60" s="19">
        <f>ENTERO(I60/('Parámetros'!$B$10*(1+'Parámetros'!$B$13)^((57-1)/12)))</f>
        <v/>
      </c>
      <c r="K60" s="19">
        <f>J60*'Parámetros'!$B$12</f>
        <v/>
      </c>
      <c r="L60" s="19">
        <f>MAX(0,C60-K60)</f>
        <v/>
      </c>
      <c r="M60" s="21">
        <f>K60*('Parámetros'!$B$26*(1+'Parámetros'!$B$27)^((57-1)/12))</f>
        <v/>
      </c>
      <c r="N60" s="21">
        <f>N59+M60</f>
        <v/>
      </c>
      <c r="O60" s="21">
        <f>IF(57&lt;='Parámetros'!$B$19,0,G60*'Parámetros'!$B$17/12)</f>
        <v/>
      </c>
      <c r="P60" s="22">
        <f>D60+M60-O60</f>
        <v/>
      </c>
      <c r="Q60" s="22">
        <f>Q59+P60</f>
        <v/>
      </c>
    </row>
    <row r="61">
      <c r="A61" s="23" t="n">
        <v>58</v>
      </c>
      <c r="B61" s="23">
        <f>INT((58-1)/12)+1</f>
        <v/>
      </c>
      <c r="C61" s="24">
        <f>REDONDEAR(C60*(1-'Parámetros'!$B$7)^(1/12),0)</f>
        <v/>
      </c>
      <c r="D61" s="25">
        <f>C61*'Parámetros'!$B$6</f>
        <v/>
      </c>
      <c r="E61" s="25">
        <f>E60+D61</f>
        <v/>
      </c>
      <c r="F61" s="25">
        <f>MAX(0, MIN('Parámetros'!$B$15-G60, D61*'Parámetros'!$B$16))</f>
        <v/>
      </c>
      <c r="G61" s="25">
        <f>G60+F61</f>
        <v/>
      </c>
      <c r="H61" s="25">
        <f>H60+IF(J61&gt;J60,(J61-J60)*('Parámetros'!$B$12*'Parámetros'!$B$23*'Parámetros'!$B$21*'Parámetros'!$B$22*'Parámetros'!$B$24),0)</f>
        <v/>
      </c>
      <c r="I61" s="26">
        <f>E61+G61+H61</f>
        <v/>
      </c>
      <c r="J61" s="23">
        <f>ENTERO(I61/('Parámetros'!$B$10*(1+'Parámetros'!$B$13)^((58-1)/12)))</f>
        <v/>
      </c>
      <c r="K61" s="23">
        <f>J61*'Parámetros'!$B$12</f>
        <v/>
      </c>
      <c r="L61" s="23">
        <f>MAX(0,C61-K61)</f>
        <v/>
      </c>
      <c r="M61" s="25">
        <f>K61*('Parámetros'!$B$26*(1+'Parámetros'!$B$27)^((58-1)/12))</f>
        <v/>
      </c>
      <c r="N61" s="25">
        <f>N60+M61</f>
        <v/>
      </c>
      <c r="O61" s="25">
        <f>IF(58&lt;='Parámetros'!$B$19,0,G61*'Parámetros'!$B$17/12)</f>
        <v/>
      </c>
      <c r="P61" s="26">
        <f>D61+M61-O61</f>
        <v/>
      </c>
      <c r="Q61" s="26">
        <f>Q60+P61</f>
        <v/>
      </c>
    </row>
    <row r="62">
      <c r="A62" s="19" t="n">
        <v>59</v>
      </c>
      <c r="B62" s="19">
        <f>INT((59-1)/12)+1</f>
        <v/>
      </c>
      <c r="C62" s="20">
        <f>REDONDEAR(C61*(1-'Parámetros'!$B$7)^(1/12),0)</f>
        <v/>
      </c>
      <c r="D62" s="21">
        <f>C62*'Parámetros'!$B$6</f>
        <v/>
      </c>
      <c r="E62" s="21">
        <f>E61+D62</f>
        <v/>
      </c>
      <c r="F62" s="21">
        <f>MAX(0, MIN('Parámetros'!$B$15-G61, D62*'Parámetros'!$B$16))</f>
        <v/>
      </c>
      <c r="G62" s="21">
        <f>G61+F62</f>
        <v/>
      </c>
      <c r="H62" s="21">
        <f>H61+IF(J62&gt;J61,(J62-J61)*('Parámetros'!$B$12*'Parámetros'!$B$23*'Parámetros'!$B$21*'Parámetros'!$B$22*'Parámetros'!$B$24),0)</f>
        <v/>
      </c>
      <c r="I62" s="22">
        <f>E62+G62+H62</f>
        <v/>
      </c>
      <c r="J62" s="19">
        <f>ENTERO(I62/('Parámetros'!$B$10*(1+'Parámetros'!$B$13)^((59-1)/12)))</f>
        <v/>
      </c>
      <c r="K62" s="19">
        <f>J62*'Parámetros'!$B$12</f>
        <v/>
      </c>
      <c r="L62" s="19">
        <f>MAX(0,C62-K62)</f>
        <v/>
      </c>
      <c r="M62" s="21">
        <f>K62*('Parámetros'!$B$26*(1+'Parámetros'!$B$27)^((59-1)/12))</f>
        <v/>
      </c>
      <c r="N62" s="21">
        <f>N61+M62</f>
        <v/>
      </c>
      <c r="O62" s="21">
        <f>IF(59&lt;='Parámetros'!$B$19,0,G62*'Parámetros'!$B$17/12)</f>
        <v/>
      </c>
      <c r="P62" s="22">
        <f>D62+M62-O62</f>
        <v/>
      </c>
      <c r="Q62" s="22">
        <f>Q61+P62</f>
        <v/>
      </c>
    </row>
    <row r="63">
      <c r="A63" s="23" t="n">
        <v>60</v>
      </c>
      <c r="B63" s="23">
        <f>INT((60-1)/12)+1</f>
        <v/>
      </c>
      <c r="C63" s="24">
        <f>REDONDEAR(C62*(1-'Parámetros'!$B$7)^(1/12),0)</f>
        <v/>
      </c>
      <c r="D63" s="25">
        <f>C63*'Parámetros'!$B$6</f>
        <v/>
      </c>
      <c r="E63" s="25">
        <f>E62+D63</f>
        <v/>
      </c>
      <c r="F63" s="25">
        <f>MAX(0, MIN('Parámetros'!$B$15-G62, D63*'Parámetros'!$B$16))</f>
        <v/>
      </c>
      <c r="G63" s="25">
        <f>G62+F63</f>
        <v/>
      </c>
      <c r="H63" s="25">
        <f>H62+IF(J63&gt;J62,(J63-J62)*('Parámetros'!$B$12*'Parámetros'!$B$23*'Parámetros'!$B$21*'Parámetros'!$B$22*'Parámetros'!$B$24),0)</f>
        <v/>
      </c>
      <c r="I63" s="26">
        <f>E63+G63+H63</f>
        <v/>
      </c>
      <c r="J63" s="23">
        <f>ENTERO(I63/('Parámetros'!$B$10*(1+'Parámetros'!$B$13)^((60-1)/12)))</f>
        <v/>
      </c>
      <c r="K63" s="23">
        <f>J63*'Parámetros'!$B$12</f>
        <v/>
      </c>
      <c r="L63" s="23">
        <f>MAX(0,C63-K63)</f>
        <v/>
      </c>
      <c r="M63" s="25">
        <f>K63*('Parámetros'!$B$26*(1+'Parámetros'!$B$27)^((60-1)/12))</f>
        <v/>
      </c>
      <c r="N63" s="25">
        <f>N62+M63</f>
        <v/>
      </c>
      <c r="O63" s="25">
        <f>IF(60&lt;='Parámetros'!$B$19,0,G63*'Parámetros'!$B$17/12)</f>
        <v/>
      </c>
      <c r="P63" s="26">
        <f>D63+M63-O63</f>
        <v/>
      </c>
      <c r="Q63" s="26">
        <f>Q62+P63</f>
        <v/>
      </c>
    </row>
    <row r="64">
      <c r="A64" s="19" t="n">
        <v>61</v>
      </c>
      <c r="B64" s="19">
        <f>INT((61-1)/12)+1</f>
        <v/>
      </c>
      <c r="C64" s="20">
        <f>REDONDEAR(C63*(1-'Parámetros'!$B$7)^(1/12),0)</f>
        <v/>
      </c>
      <c r="D64" s="21">
        <f>C64*'Parámetros'!$B$6</f>
        <v/>
      </c>
      <c r="E64" s="21">
        <f>E63+D64</f>
        <v/>
      </c>
      <c r="F64" s="21">
        <f>MAX(0, MIN('Parámetros'!$B$15-G63, D64*'Parámetros'!$B$16))</f>
        <v/>
      </c>
      <c r="G64" s="21">
        <f>G63+F64</f>
        <v/>
      </c>
      <c r="H64" s="21">
        <f>H63+IF(J64&gt;J63,(J64-J63)*('Parámetros'!$B$12*'Parámetros'!$B$23*'Parámetros'!$B$21*'Parámetros'!$B$22*'Parámetros'!$B$24),0)</f>
        <v/>
      </c>
      <c r="I64" s="22">
        <f>E64+G64+H64</f>
        <v/>
      </c>
      <c r="J64" s="19">
        <f>ENTERO(I64/('Parámetros'!$B$10*(1+'Parámetros'!$B$13)^((61-1)/12)))</f>
        <v/>
      </c>
      <c r="K64" s="19">
        <f>J64*'Parámetros'!$B$12</f>
        <v/>
      </c>
      <c r="L64" s="19">
        <f>MAX(0,C64-K64)</f>
        <v/>
      </c>
      <c r="M64" s="21">
        <f>K64*('Parámetros'!$B$26*(1+'Parámetros'!$B$27)^((61-1)/12))</f>
        <v/>
      </c>
      <c r="N64" s="21">
        <f>N63+M64</f>
        <v/>
      </c>
      <c r="O64" s="21">
        <f>IF(61&lt;='Parámetros'!$B$19,0,G64*'Parámetros'!$B$17/12)</f>
        <v/>
      </c>
      <c r="P64" s="22">
        <f>D64+M64-O64</f>
        <v/>
      </c>
      <c r="Q64" s="22">
        <f>Q63+P64</f>
        <v/>
      </c>
    </row>
    <row r="65">
      <c r="A65" s="23" t="n">
        <v>62</v>
      </c>
      <c r="B65" s="23">
        <f>INT((62-1)/12)+1</f>
        <v/>
      </c>
      <c r="C65" s="24">
        <f>REDONDEAR(C64*(1-'Parámetros'!$B$7)^(1/12),0)</f>
        <v/>
      </c>
      <c r="D65" s="25">
        <f>C65*'Parámetros'!$B$6</f>
        <v/>
      </c>
      <c r="E65" s="25">
        <f>E64+D65</f>
        <v/>
      </c>
      <c r="F65" s="25">
        <f>MAX(0, MIN('Parámetros'!$B$15-G64, D65*'Parámetros'!$B$16))</f>
        <v/>
      </c>
      <c r="G65" s="25">
        <f>G64+F65</f>
        <v/>
      </c>
      <c r="H65" s="25">
        <f>H64+IF(J65&gt;J64,(J65-J64)*('Parámetros'!$B$12*'Parámetros'!$B$23*'Parámetros'!$B$21*'Parámetros'!$B$22*'Parámetros'!$B$24),0)</f>
        <v/>
      </c>
      <c r="I65" s="26">
        <f>E65+G65+H65</f>
        <v/>
      </c>
      <c r="J65" s="23">
        <f>ENTERO(I65/('Parámetros'!$B$10*(1+'Parámetros'!$B$13)^((62-1)/12)))</f>
        <v/>
      </c>
      <c r="K65" s="23">
        <f>J65*'Parámetros'!$B$12</f>
        <v/>
      </c>
      <c r="L65" s="23">
        <f>MAX(0,C65-K65)</f>
        <v/>
      </c>
      <c r="M65" s="25">
        <f>K65*('Parámetros'!$B$26*(1+'Parámetros'!$B$27)^((62-1)/12))</f>
        <v/>
      </c>
      <c r="N65" s="25">
        <f>N64+M65</f>
        <v/>
      </c>
      <c r="O65" s="25">
        <f>IF(62&lt;='Parámetros'!$B$19,0,G65*'Parámetros'!$B$17/12)</f>
        <v/>
      </c>
      <c r="P65" s="26">
        <f>D65+M65-O65</f>
        <v/>
      </c>
      <c r="Q65" s="26">
        <f>Q64+P65</f>
        <v/>
      </c>
    </row>
    <row r="66">
      <c r="A66" s="19" t="n">
        <v>63</v>
      </c>
      <c r="B66" s="19">
        <f>INT((63-1)/12)+1</f>
        <v/>
      </c>
      <c r="C66" s="20">
        <f>REDONDEAR(C65*(1-'Parámetros'!$B$7)^(1/12),0)</f>
        <v/>
      </c>
      <c r="D66" s="21">
        <f>C66*'Parámetros'!$B$6</f>
        <v/>
      </c>
      <c r="E66" s="21">
        <f>E65+D66</f>
        <v/>
      </c>
      <c r="F66" s="21">
        <f>MAX(0, MIN('Parámetros'!$B$15-G65, D66*'Parámetros'!$B$16))</f>
        <v/>
      </c>
      <c r="G66" s="21">
        <f>G65+F66</f>
        <v/>
      </c>
      <c r="H66" s="21">
        <f>H65+IF(J66&gt;J65,(J66-J65)*('Parámetros'!$B$12*'Parámetros'!$B$23*'Parámetros'!$B$21*'Parámetros'!$B$22*'Parámetros'!$B$24),0)</f>
        <v/>
      </c>
      <c r="I66" s="22">
        <f>E66+G66+H66</f>
        <v/>
      </c>
      <c r="J66" s="19">
        <f>ENTERO(I66/('Parámetros'!$B$10*(1+'Parámetros'!$B$13)^((63-1)/12)))</f>
        <v/>
      </c>
      <c r="K66" s="19">
        <f>J66*'Parámetros'!$B$12</f>
        <v/>
      </c>
      <c r="L66" s="19">
        <f>MAX(0,C66-K66)</f>
        <v/>
      </c>
      <c r="M66" s="21">
        <f>K66*('Parámetros'!$B$26*(1+'Parámetros'!$B$27)^((63-1)/12))</f>
        <v/>
      </c>
      <c r="N66" s="21">
        <f>N65+M66</f>
        <v/>
      </c>
      <c r="O66" s="21">
        <f>IF(63&lt;='Parámetros'!$B$19,0,G66*'Parámetros'!$B$17/12)</f>
        <v/>
      </c>
      <c r="P66" s="22">
        <f>D66+M66-O66</f>
        <v/>
      </c>
      <c r="Q66" s="22">
        <f>Q65+P66</f>
        <v/>
      </c>
    </row>
    <row r="67">
      <c r="A67" s="23" t="n">
        <v>64</v>
      </c>
      <c r="B67" s="23">
        <f>INT((64-1)/12)+1</f>
        <v/>
      </c>
      <c r="C67" s="24">
        <f>REDONDEAR(C66*(1-'Parámetros'!$B$7)^(1/12),0)</f>
        <v/>
      </c>
      <c r="D67" s="25">
        <f>C67*'Parámetros'!$B$6</f>
        <v/>
      </c>
      <c r="E67" s="25">
        <f>E66+D67</f>
        <v/>
      </c>
      <c r="F67" s="25">
        <f>MAX(0, MIN('Parámetros'!$B$15-G66, D67*'Parámetros'!$B$16))</f>
        <v/>
      </c>
      <c r="G67" s="25">
        <f>G66+F67</f>
        <v/>
      </c>
      <c r="H67" s="25">
        <f>H66+IF(J67&gt;J66,(J67-J66)*('Parámetros'!$B$12*'Parámetros'!$B$23*'Parámetros'!$B$21*'Parámetros'!$B$22*'Parámetros'!$B$24),0)</f>
        <v/>
      </c>
      <c r="I67" s="26">
        <f>E67+G67+H67</f>
        <v/>
      </c>
      <c r="J67" s="23">
        <f>ENTERO(I67/('Parámetros'!$B$10*(1+'Parámetros'!$B$13)^((64-1)/12)))</f>
        <v/>
      </c>
      <c r="K67" s="23">
        <f>J67*'Parámetros'!$B$12</f>
        <v/>
      </c>
      <c r="L67" s="23">
        <f>MAX(0,C67-K67)</f>
        <v/>
      </c>
      <c r="M67" s="25">
        <f>K67*('Parámetros'!$B$26*(1+'Parámetros'!$B$27)^((64-1)/12))</f>
        <v/>
      </c>
      <c r="N67" s="25">
        <f>N66+M67</f>
        <v/>
      </c>
      <c r="O67" s="25">
        <f>IF(64&lt;='Parámetros'!$B$19,0,G67*'Parámetros'!$B$17/12)</f>
        <v/>
      </c>
      <c r="P67" s="26">
        <f>D67+M67-O67</f>
        <v/>
      </c>
      <c r="Q67" s="26">
        <f>Q66+P67</f>
        <v/>
      </c>
    </row>
    <row r="68">
      <c r="A68" s="19" t="n">
        <v>65</v>
      </c>
      <c r="B68" s="19">
        <f>INT((65-1)/12)+1</f>
        <v/>
      </c>
      <c r="C68" s="20">
        <f>REDONDEAR(C67*(1-'Parámetros'!$B$7)^(1/12),0)</f>
        <v/>
      </c>
      <c r="D68" s="21">
        <f>C68*'Parámetros'!$B$6</f>
        <v/>
      </c>
      <c r="E68" s="21">
        <f>E67+D68</f>
        <v/>
      </c>
      <c r="F68" s="21">
        <f>MAX(0, MIN('Parámetros'!$B$15-G67, D68*'Parámetros'!$B$16))</f>
        <v/>
      </c>
      <c r="G68" s="21">
        <f>G67+F68</f>
        <v/>
      </c>
      <c r="H68" s="21">
        <f>H67+IF(J68&gt;J67,(J68-J67)*('Parámetros'!$B$12*'Parámetros'!$B$23*'Parámetros'!$B$21*'Parámetros'!$B$22*'Parámetros'!$B$24),0)</f>
        <v/>
      </c>
      <c r="I68" s="22">
        <f>E68+G68+H68</f>
        <v/>
      </c>
      <c r="J68" s="19">
        <f>ENTERO(I68/('Parámetros'!$B$10*(1+'Parámetros'!$B$13)^((65-1)/12)))</f>
        <v/>
      </c>
      <c r="K68" s="19">
        <f>J68*'Parámetros'!$B$12</f>
        <v/>
      </c>
      <c r="L68" s="19">
        <f>MAX(0,C68-K68)</f>
        <v/>
      </c>
      <c r="M68" s="21">
        <f>K68*('Parámetros'!$B$26*(1+'Parámetros'!$B$27)^((65-1)/12))</f>
        <v/>
      </c>
      <c r="N68" s="21">
        <f>N67+M68</f>
        <v/>
      </c>
      <c r="O68" s="21">
        <f>IF(65&lt;='Parámetros'!$B$19,0,G68*'Parámetros'!$B$17/12)</f>
        <v/>
      </c>
      <c r="P68" s="22">
        <f>D68+M68-O68</f>
        <v/>
      </c>
      <c r="Q68" s="22">
        <f>Q67+P68</f>
        <v/>
      </c>
    </row>
    <row r="69">
      <c r="A69" s="23" t="n">
        <v>66</v>
      </c>
      <c r="B69" s="23">
        <f>INT((66-1)/12)+1</f>
        <v/>
      </c>
      <c r="C69" s="24">
        <f>REDONDEAR(C68*(1-'Parámetros'!$B$7)^(1/12),0)</f>
        <v/>
      </c>
      <c r="D69" s="25">
        <f>C69*'Parámetros'!$B$6</f>
        <v/>
      </c>
      <c r="E69" s="25">
        <f>E68+D69</f>
        <v/>
      </c>
      <c r="F69" s="25">
        <f>MAX(0, MIN('Parámetros'!$B$15-G68, D69*'Parámetros'!$B$16))</f>
        <v/>
      </c>
      <c r="G69" s="25">
        <f>G68+F69</f>
        <v/>
      </c>
      <c r="H69" s="25">
        <f>H68+IF(J69&gt;J68,(J69-J68)*('Parámetros'!$B$12*'Parámetros'!$B$23*'Parámetros'!$B$21*'Parámetros'!$B$22*'Parámetros'!$B$24),0)</f>
        <v/>
      </c>
      <c r="I69" s="26">
        <f>E69+G69+H69</f>
        <v/>
      </c>
      <c r="J69" s="23">
        <f>ENTERO(I69/('Parámetros'!$B$10*(1+'Parámetros'!$B$13)^((66-1)/12)))</f>
        <v/>
      </c>
      <c r="K69" s="23">
        <f>J69*'Parámetros'!$B$12</f>
        <v/>
      </c>
      <c r="L69" s="23">
        <f>MAX(0,C69-K69)</f>
        <v/>
      </c>
      <c r="M69" s="25">
        <f>K69*('Parámetros'!$B$26*(1+'Parámetros'!$B$27)^((66-1)/12))</f>
        <v/>
      </c>
      <c r="N69" s="25">
        <f>N68+M69</f>
        <v/>
      </c>
      <c r="O69" s="25">
        <f>IF(66&lt;='Parámetros'!$B$19,0,G69*'Parámetros'!$B$17/12)</f>
        <v/>
      </c>
      <c r="P69" s="26">
        <f>D69+M69-O69</f>
        <v/>
      </c>
      <c r="Q69" s="26">
        <f>Q68+P69</f>
        <v/>
      </c>
    </row>
    <row r="70">
      <c r="A70" s="19" t="n">
        <v>67</v>
      </c>
      <c r="B70" s="19">
        <f>INT((67-1)/12)+1</f>
        <v/>
      </c>
      <c r="C70" s="20">
        <f>REDONDEAR(C69*(1-'Parámetros'!$B$7)^(1/12),0)</f>
        <v/>
      </c>
      <c r="D70" s="21">
        <f>C70*'Parámetros'!$B$6</f>
        <v/>
      </c>
      <c r="E70" s="21">
        <f>E69+D70</f>
        <v/>
      </c>
      <c r="F70" s="21">
        <f>MAX(0, MIN('Parámetros'!$B$15-G69, D70*'Parámetros'!$B$16))</f>
        <v/>
      </c>
      <c r="G70" s="21">
        <f>G69+F70</f>
        <v/>
      </c>
      <c r="H70" s="21">
        <f>H69+IF(J70&gt;J69,(J70-J69)*('Parámetros'!$B$12*'Parámetros'!$B$23*'Parámetros'!$B$21*'Parámetros'!$B$22*'Parámetros'!$B$24),0)</f>
        <v/>
      </c>
      <c r="I70" s="22">
        <f>E70+G70+H70</f>
        <v/>
      </c>
      <c r="J70" s="19">
        <f>ENTERO(I70/('Parámetros'!$B$10*(1+'Parámetros'!$B$13)^((67-1)/12)))</f>
        <v/>
      </c>
      <c r="K70" s="19">
        <f>J70*'Parámetros'!$B$12</f>
        <v/>
      </c>
      <c r="L70" s="19">
        <f>MAX(0,C70-K70)</f>
        <v/>
      </c>
      <c r="M70" s="21">
        <f>K70*('Parámetros'!$B$26*(1+'Parámetros'!$B$27)^((67-1)/12))</f>
        <v/>
      </c>
      <c r="N70" s="21">
        <f>N69+M70</f>
        <v/>
      </c>
      <c r="O70" s="21">
        <f>IF(67&lt;='Parámetros'!$B$19,0,G70*'Parámetros'!$B$17/12)</f>
        <v/>
      </c>
      <c r="P70" s="22">
        <f>D70+M70-O70</f>
        <v/>
      </c>
      <c r="Q70" s="22">
        <f>Q69+P70</f>
        <v/>
      </c>
    </row>
    <row r="71">
      <c r="A71" s="23" t="n">
        <v>68</v>
      </c>
      <c r="B71" s="23">
        <f>INT((68-1)/12)+1</f>
        <v/>
      </c>
      <c r="C71" s="24">
        <f>REDONDEAR(C70*(1-'Parámetros'!$B$7)^(1/12),0)</f>
        <v/>
      </c>
      <c r="D71" s="25">
        <f>C71*'Parámetros'!$B$6</f>
        <v/>
      </c>
      <c r="E71" s="25">
        <f>E70+D71</f>
        <v/>
      </c>
      <c r="F71" s="25">
        <f>MAX(0, MIN('Parámetros'!$B$15-G70, D71*'Parámetros'!$B$16))</f>
        <v/>
      </c>
      <c r="G71" s="25">
        <f>G70+F71</f>
        <v/>
      </c>
      <c r="H71" s="25">
        <f>H70+IF(J71&gt;J70,(J71-J70)*('Parámetros'!$B$12*'Parámetros'!$B$23*'Parámetros'!$B$21*'Parámetros'!$B$22*'Parámetros'!$B$24),0)</f>
        <v/>
      </c>
      <c r="I71" s="26">
        <f>E71+G71+H71</f>
        <v/>
      </c>
      <c r="J71" s="23">
        <f>ENTERO(I71/('Parámetros'!$B$10*(1+'Parámetros'!$B$13)^((68-1)/12)))</f>
        <v/>
      </c>
      <c r="K71" s="23">
        <f>J71*'Parámetros'!$B$12</f>
        <v/>
      </c>
      <c r="L71" s="23">
        <f>MAX(0,C71-K71)</f>
        <v/>
      </c>
      <c r="M71" s="25">
        <f>K71*('Parámetros'!$B$26*(1+'Parámetros'!$B$27)^((68-1)/12))</f>
        <v/>
      </c>
      <c r="N71" s="25">
        <f>N70+M71</f>
        <v/>
      </c>
      <c r="O71" s="25">
        <f>IF(68&lt;='Parámetros'!$B$19,0,G71*'Parámetros'!$B$17/12)</f>
        <v/>
      </c>
      <c r="P71" s="26">
        <f>D71+M71-O71</f>
        <v/>
      </c>
      <c r="Q71" s="26">
        <f>Q70+P71</f>
        <v/>
      </c>
    </row>
    <row r="72">
      <c r="A72" s="19" t="n">
        <v>69</v>
      </c>
      <c r="B72" s="19">
        <f>INT((69-1)/12)+1</f>
        <v/>
      </c>
      <c r="C72" s="20">
        <f>REDONDEAR(C71*(1-'Parámetros'!$B$7)^(1/12),0)</f>
        <v/>
      </c>
      <c r="D72" s="21">
        <f>C72*'Parámetros'!$B$6</f>
        <v/>
      </c>
      <c r="E72" s="21">
        <f>E71+D72</f>
        <v/>
      </c>
      <c r="F72" s="21">
        <f>MAX(0, MIN('Parámetros'!$B$15-G71, D72*'Parámetros'!$B$16))</f>
        <v/>
      </c>
      <c r="G72" s="21">
        <f>G71+F72</f>
        <v/>
      </c>
      <c r="H72" s="21">
        <f>H71+IF(J72&gt;J71,(J72-J71)*('Parámetros'!$B$12*'Parámetros'!$B$23*'Parámetros'!$B$21*'Parámetros'!$B$22*'Parámetros'!$B$24),0)</f>
        <v/>
      </c>
      <c r="I72" s="22">
        <f>E72+G72+H72</f>
        <v/>
      </c>
      <c r="J72" s="19">
        <f>ENTERO(I72/('Parámetros'!$B$10*(1+'Parámetros'!$B$13)^((69-1)/12)))</f>
        <v/>
      </c>
      <c r="K72" s="19">
        <f>J72*'Parámetros'!$B$12</f>
        <v/>
      </c>
      <c r="L72" s="19">
        <f>MAX(0,C72-K72)</f>
        <v/>
      </c>
      <c r="M72" s="21">
        <f>K72*('Parámetros'!$B$26*(1+'Parámetros'!$B$27)^((69-1)/12))</f>
        <v/>
      </c>
      <c r="N72" s="21">
        <f>N71+M72</f>
        <v/>
      </c>
      <c r="O72" s="21">
        <f>IF(69&lt;='Parámetros'!$B$19,0,G72*'Parámetros'!$B$17/12)</f>
        <v/>
      </c>
      <c r="P72" s="22">
        <f>D72+M72-O72</f>
        <v/>
      </c>
      <c r="Q72" s="22">
        <f>Q71+P72</f>
        <v/>
      </c>
    </row>
    <row r="73">
      <c r="A73" s="23" t="n">
        <v>70</v>
      </c>
      <c r="B73" s="23">
        <f>INT((70-1)/12)+1</f>
        <v/>
      </c>
      <c r="C73" s="24">
        <f>REDONDEAR(C72*(1-'Parámetros'!$B$7)^(1/12),0)</f>
        <v/>
      </c>
      <c r="D73" s="25">
        <f>C73*'Parámetros'!$B$6</f>
        <v/>
      </c>
      <c r="E73" s="25">
        <f>E72+D73</f>
        <v/>
      </c>
      <c r="F73" s="25">
        <f>MAX(0, MIN('Parámetros'!$B$15-G72, D73*'Parámetros'!$B$16))</f>
        <v/>
      </c>
      <c r="G73" s="25">
        <f>G72+F73</f>
        <v/>
      </c>
      <c r="H73" s="25">
        <f>H72+IF(J73&gt;J72,(J73-J72)*('Parámetros'!$B$12*'Parámetros'!$B$23*'Parámetros'!$B$21*'Parámetros'!$B$22*'Parámetros'!$B$24),0)</f>
        <v/>
      </c>
      <c r="I73" s="26">
        <f>E73+G73+H73</f>
        <v/>
      </c>
      <c r="J73" s="23">
        <f>ENTERO(I73/('Parámetros'!$B$10*(1+'Parámetros'!$B$13)^((70-1)/12)))</f>
        <v/>
      </c>
      <c r="K73" s="23">
        <f>J73*'Parámetros'!$B$12</f>
        <v/>
      </c>
      <c r="L73" s="23">
        <f>MAX(0,C73-K73)</f>
        <v/>
      </c>
      <c r="M73" s="25">
        <f>K73*('Parámetros'!$B$26*(1+'Parámetros'!$B$27)^((70-1)/12))</f>
        <v/>
      </c>
      <c r="N73" s="25">
        <f>N72+M73</f>
        <v/>
      </c>
      <c r="O73" s="25">
        <f>IF(70&lt;='Parámetros'!$B$19,0,G73*'Parámetros'!$B$17/12)</f>
        <v/>
      </c>
      <c r="P73" s="26">
        <f>D73+M73-O73</f>
        <v/>
      </c>
      <c r="Q73" s="26">
        <f>Q72+P73</f>
        <v/>
      </c>
    </row>
    <row r="74">
      <c r="A74" s="19" t="n">
        <v>71</v>
      </c>
      <c r="B74" s="19">
        <f>INT((71-1)/12)+1</f>
        <v/>
      </c>
      <c r="C74" s="20">
        <f>REDONDEAR(C73*(1-'Parámetros'!$B$7)^(1/12),0)</f>
        <v/>
      </c>
      <c r="D74" s="21">
        <f>C74*'Parámetros'!$B$6</f>
        <v/>
      </c>
      <c r="E74" s="21">
        <f>E73+D74</f>
        <v/>
      </c>
      <c r="F74" s="21">
        <f>MAX(0, MIN('Parámetros'!$B$15-G73, D74*'Parámetros'!$B$16))</f>
        <v/>
      </c>
      <c r="G74" s="21">
        <f>G73+F74</f>
        <v/>
      </c>
      <c r="H74" s="21">
        <f>H73+IF(J74&gt;J73,(J74-J73)*('Parámetros'!$B$12*'Parámetros'!$B$23*'Parámetros'!$B$21*'Parámetros'!$B$22*'Parámetros'!$B$24),0)</f>
        <v/>
      </c>
      <c r="I74" s="22">
        <f>E74+G74+H74</f>
        <v/>
      </c>
      <c r="J74" s="19">
        <f>ENTERO(I74/('Parámetros'!$B$10*(1+'Parámetros'!$B$13)^((71-1)/12)))</f>
        <v/>
      </c>
      <c r="K74" s="19">
        <f>J74*'Parámetros'!$B$12</f>
        <v/>
      </c>
      <c r="L74" s="19">
        <f>MAX(0,C74-K74)</f>
        <v/>
      </c>
      <c r="M74" s="21">
        <f>K74*('Parámetros'!$B$26*(1+'Parámetros'!$B$27)^((71-1)/12))</f>
        <v/>
      </c>
      <c r="N74" s="21">
        <f>N73+M74</f>
        <v/>
      </c>
      <c r="O74" s="21">
        <f>IF(71&lt;='Parámetros'!$B$19,0,G74*'Parámetros'!$B$17/12)</f>
        <v/>
      </c>
      <c r="P74" s="22">
        <f>D74+M74-O74</f>
        <v/>
      </c>
      <c r="Q74" s="22">
        <f>Q73+P74</f>
        <v/>
      </c>
    </row>
    <row r="75">
      <c r="A75" s="23" t="n">
        <v>72</v>
      </c>
      <c r="B75" s="23">
        <f>INT((72-1)/12)+1</f>
        <v/>
      </c>
      <c r="C75" s="24">
        <f>REDONDEAR(C74*(1-'Parámetros'!$B$7)^(1/12),0)</f>
        <v/>
      </c>
      <c r="D75" s="25">
        <f>C75*'Parámetros'!$B$6</f>
        <v/>
      </c>
      <c r="E75" s="25">
        <f>E74+D75</f>
        <v/>
      </c>
      <c r="F75" s="25">
        <f>MAX(0, MIN('Parámetros'!$B$15-G74, D75*'Parámetros'!$B$16))</f>
        <v/>
      </c>
      <c r="G75" s="25">
        <f>G74+F75</f>
        <v/>
      </c>
      <c r="H75" s="25">
        <f>H74+IF(J75&gt;J74,(J75-J74)*('Parámetros'!$B$12*'Parámetros'!$B$23*'Parámetros'!$B$21*'Parámetros'!$B$22*'Parámetros'!$B$24),0)</f>
        <v/>
      </c>
      <c r="I75" s="26">
        <f>E75+G75+H75</f>
        <v/>
      </c>
      <c r="J75" s="23">
        <f>ENTERO(I75/('Parámetros'!$B$10*(1+'Parámetros'!$B$13)^((72-1)/12)))</f>
        <v/>
      </c>
      <c r="K75" s="23">
        <f>J75*'Parámetros'!$B$12</f>
        <v/>
      </c>
      <c r="L75" s="23">
        <f>MAX(0,C75-K75)</f>
        <v/>
      </c>
      <c r="M75" s="25">
        <f>K75*('Parámetros'!$B$26*(1+'Parámetros'!$B$27)^((72-1)/12))</f>
        <v/>
      </c>
      <c r="N75" s="25">
        <f>N74+M75</f>
        <v/>
      </c>
      <c r="O75" s="25">
        <f>IF(72&lt;='Parámetros'!$B$19,0,G75*'Parámetros'!$B$17/12)</f>
        <v/>
      </c>
      <c r="P75" s="26">
        <f>D75+M75-O75</f>
        <v/>
      </c>
      <c r="Q75" s="26">
        <f>Q74+P75</f>
        <v/>
      </c>
    </row>
    <row r="76">
      <c r="A76" s="19" t="n">
        <v>73</v>
      </c>
      <c r="B76" s="19">
        <f>INT((73-1)/12)+1</f>
        <v/>
      </c>
      <c r="C76" s="20">
        <f>REDONDEAR(C75*(1-'Parámetros'!$B$7)^(1/12),0)</f>
        <v/>
      </c>
      <c r="D76" s="21">
        <f>C76*'Parámetros'!$B$6</f>
        <v/>
      </c>
      <c r="E76" s="21">
        <f>E75+D76</f>
        <v/>
      </c>
      <c r="F76" s="21">
        <f>MAX(0, MIN('Parámetros'!$B$15-G75, D76*'Parámetros'!$B$16))</f>
        <v/>
      </c>
      <c r="G76" s="21">
        <f>G75+F76</f>
        <v/>
      </c>
      <c r="H76" s="21">
        <f>H75+IF(J76&gt;J75,(J76-J75)*('Parámetros'!$B$12*'Parámetros'!$B$23*'Parámetros'!$B$21*'Parámetros'!$B$22*'Parámetros'!$B$24),0)</f>
        <v/>
      </c>
      <c r="I76" s="22">
        <f>E76+G76+H76</f>
        <v/>
      </c>
      <c r="J76" s="19">
        <f>ENTERO(I76/('Parámetros'!$B$10*(1+'Parámetros'!$B$13)^((73-1)/12)))</f>
        <v/>
      </c>
      <c r="K76" s="19">
        <f>J76*'Parámetros'!$B$12</f>
        <v/>
      </c>
      <c r="L76" s="19">
        <f>MAX(0,C76-K76)</f>
        <v/>
      </c>
      <c r="M76" s="21">
        <f>K76*('Parámetros'!$B$26*(1+'Parámetros'!$B$27)^((73-1)/12))</f>
        <v/>
      </c>
      <c r="N76" s="21">
        <f>N75+M76</f>
        <v/>
      </c>
      <c r="O76" s="21">
        <f>IF(73&lt;='Parámetros'!$B$19,0,G76*'Parámetros'!$B$17/12)</f>
        <v/>
      </c>
      <c r="P76" s="22">
        <f>D76+M76-O76</f>
        <v/>
      </c>
      <c r="Q76" s="22">
        <f>Q75+P76</f>
        <v/>
      </c>
    </row>
    <row r="77">
      <c r="A77" s="23" t="n">
        <v>74</v>
      </c>
      <c r="B77" s="23">
        <f>INT((74-1)/12)+1</f>
        <v/>
      </c>
      <c r="C77" s="24">
        <f>REDONDEAR(C76*(1-'Parámetros'!$B$7)^(1/12),0)</f>
        <v/>
      </c>
      <c r="D77" s="25">
        <f>C77*'Parámetros'!$B$6</f>
        <v/>
      </c>
      <c r="E77" s="25">
        <f>E76+D77</f>
        <v/>
      </c>
      <c r="F77" s="25">
        <f>MAX(0, MIN('Parámetros'!$B$15-G76, D77*'Parámetros'!$B$16))</f>
        <v/>
      </c>
      <c r="G77" s="25">
        <f>G76+F77</f>
        <v/>
      </c>
      <c r="H77" s="25">
        <f>H76+IF(J77&gt;J76,(J77-J76)*('Parámetros'!$B$12*'Parámetros'!$B$23*'Parámetros'!$B$21*'Parámetros'!$B$22*'Parámetros'!$B$24),0)</f>
        <v/>
      </c>
      <c r="I77" s="26">
        <f>E77+G77+H77</f>
        <v/>
      </c>
      <c r="J77" s="23">
        <f>ENTERO(I77/('Parámetros'!$B$10*(1+'Parámetros'!$B$13)^((74-1)/12)))</f>
        <v/>
      </c>
      <c r="K77" s="23">
        <f>J77*'Parámetros'!$B$12</f>
        <v/>
      </c>
      <c r="L77" s="23">
        <f>MAX(0,C77-K77)</f>
        <v/>
      </c>
      <c r="M77" s="25">
        <f>K77*('Parámetros'!$B$26*(1+'Parámetros'!$B$27)^((74-1)/12))</f>
        <v/>
      </c>
      <c r="N77" s="25">
        <f>N76+M77</f>
        <v/>
      </c>
      <c r="O77" s="25">
        <f>IF(74&lt;='Parámetros'!$B$19,0,G77*'Parámetros'!$B$17/12)</f>
        <v/>
      </c>
      <c r="P77" s="26">
        <f>D77+M77-O77</f>
        <v/>
      </c>
      <c r="Q77" s="26">
        <f>Q76+P77</f>
        <v/>
      </c>
    </row>
    <row r="78">
      <c r="A78" s="19" t="n">
        <v>75</v>
      </c>
      <c r="B78" s="19">
        <f>INT((75-1)/12)+1</f>
        <v/>
      </c>
      <c r="C78" s="20">
        <f>REDONDEAR(C77*(1-'Parámetros'!$B$7)^(1/12),0)</f>
        <v/>
      </c>
      <c r="D78" s="21">
        <f>C78*'Parámetros'!$B$6</f>
        <v/>
      </c>
      <c r="E78" s="21">
        <f>E77+D78</f>
        <v/>
      </c>
      <c r="F78" s="21">
        <f>MAX(0, MIN('Parámetros'!$B$15-G77, D78*'Parámetros'!$B$16))</f>
        <v/>
      </c>
      <c r="G78" s="21">
        <f>G77+F78</f>
        <v/>
      </c>
      <c r="H78" s="21">
        <f>H77+IF(J78&gt;J77,(J78-J77)*('Parámetros'!$B$12*'Parámetros'!$B$23*'Parámetros'!$B$21*'Parámetros'!$B$22*'Parámetros'!$B$24),0)</f>
        <v/>
      </c>
      <c r="I78" s="22">
        <f>E78+G78+H78</f>
        <v/>
      </c>
      <c r="J78" s="19">
        <f>ENTERO(I78/('Parámetros'!$B$10*(1+'Parámetros'!$B$13)^((75-1)/12)))</f>
        <v/>
      </c>
      <c r="K78" s="19">
        <f>J78*'Parámetros'!$B$12</f>
        <v/>
      </c>
      <c r="L78" s="19">
        <f>MAX(0,C78-K78)</f>
        <v/>
      </c>
      <c r="M78" s="21">
        <f>K78*('Parámetros'!$B$26*(1+'Parámetros'!$B$27)^((75-1)/12))</f>
        <v/>
      </c>
      <c r="N78" s="21">
        <f>N77+M78</f>
        <v/>
      </c>
      <c r="O78" s="21">
        <f>IF(75&lt;='Parámetros'!$B$19,0,G78*'Parámetros'!$B$17/12)</f>
        <v/>
      </c>
      <c r="P78" s="22">
        <f>D78+M78-O78</f>
        <v/>
      </c>
      <c r="Q78" s="22">
        <f>Q77+P78</f>
        <v/>
      </c>
    </row>
    <row r="79">
      <c r="A79" s="23" t="n">
        <v>76</v>
      </c>
      <c r="B79" s="23">
        <f>INT((76-1)/12)+1</f>
        <v/>
      </c>
      <c r="C79" s="24">
        <f>REDONDEAR(C78*(1-'Parámetros'!$B$7)^(1/12),0)</f>
        <v/>
      </c>
      <c r="D79" s="25">
        <f>C79*'Parámetros'!$B$6</f>
        <v/>
      </c>
      <c r="E79" s="25">
        <f>E78+D79</f>
        <v/>
      </c>
      <c r="F79" s="25">
        <f>MAX(0, MIN('Parámetros'!$B$15-G78, D79*'Parámetros'!$B$16))</f>
        <v/>
      </c>
      <c r="G79" s="25">
        <f>G78+F79</f>
        <v/>
      </c>
      <c r="H79" s="25">
        <f>H78+IF(J79&gt;J78,(J79-J78)*('Parámetros'!$B$12*'Parámetros'!$B$23*'Parámetros'!$B$21*'Parámetros'!$B$22*'Parámetros'!$B$24),0)</f>
        <v/>
      </c>
      <c r="I79" s="26">
        <f>E79+G79+H79</f>
        <v/>
      </c>
      <c r="J79" s="23">
        <f>ENTERO(I79/('Parámetros'!$B$10*(1+'Parámetros'!$B$13)^((76-1)/12)))</f>
        <v/>
      </c>
      <c r="K79" s="23">
        <f>J79*'Parámetros'!$B$12</f>
        <v/>
      </c>
      <c r="L79" s="23">
        <f>MAX(0,C79-K79)</f>
        <v/>
      </c>
      <c r="M79" s="25">
        <f>K79*('Parámetros'!$B$26*(1+'Parámetros'!$B$27)^((76-1)/12))</f>
        <v/>
      </c>
      <c r="N79" s="25">
        <f>N78+M79</f>
        <v/>
      </c>
      <c r="O79" s="25">
        <f>IF(76&lt;='Parámetros'!$B$19,0,G79*'Parámetros'!$B$17/12)</f>
        <v/>
      </c>
      <c r="P79" s="26">
        <f>D79+M79-O79</f>
        <v/>
      </c>
      <c r="Q79" s="26">
        <f>Q78+P79</f>
        <v/>
      </c>
    </row>
    <row r="80">
      <c r="A80" s="19" t="n">
        <v>77</v>
      </c>
      <c r="B80" s="19">
        <f>INT((77-1)/12)+1</f>
        <v/>
      </c>
      <c r="C80" s="20">
        <f>REDONDEAR(C79*(1-'Parámetros'!$B$7)^(1/12),0)</f>
        <v/>
      </c>
      <c r="D80" s="21">
        <f>C80*'Parámetros'!$B$6</f>
        <v/>
      </c>
      <c r="E80" s="21">
        <f>E79+D80</f>
        <v/>
      </c>
      <c r="F80" s="21">
        <f>MAX(0, MIN('Parámetros'!$B$15-G79, D80*'Parámetros'!$B$16))</f>
        <v/>
      </c>
      <c r="G80" s="21">
        <f>G79+F80</f>
        <v/>
      </c>
      <c r="H80" s="21">
        <f>H79+IF(J80&gt;J79,(J80-J79)*('Parámetros'!$B$12*'Parámetros'!$B$23*'Parámetros'!$B$21*'Parámetros'!$B$22*'Parámetros'!$B$24),0)</f>
        <v/>
      </c>
      <c r="I80" s="22">
        <f>E80+G80+H80</f>
        <v/>
      </c>
      <c r="J80" s="19">
        <f>ENTERO(I80/('Parámetros'!$B$10*(1+'Parámetros'!$B$13)^((77-1)/12)))</f>
        <v/>
      </c>
      <c r="K80" s="19">
        <f>J80*'Parámetros'!$B$12</f>
        <v/>
      </c>
      <c r="L80" s="19">
        <f>MAX(0,C80-K80)</f>
        <v/>
      </c>
      <c r="M80" s="21">
        <f>K80*('Parámetros'!$B$26*(1+'Parámetros'!$B$27)^((77-1)/12))</f>
        <v/>
      </c>
      <c r="N80" s="21">
        <f>N79+M80</f>
        <v/>
      </c>
      <c r="O80" s="21">
        <f>IF(77&lt;='Parámetros'!$B$19,0,G80*'Parámetros'!$B$17/12)</f>
        <v/>
      </c>
      <c r="P80" s="22">
        <f>D80+M80-O80</f>
        <v/>
      </c>
      <c r="Q80" s="22">
        <f>Q79+P80</f>
        <v/>
      </c>
    </row>
    <row r="81">
      <c r="A81" s="23" t="n">
        <v>78</v>
      </c>
      <c r="B81" s="23">
        <f>INT((78-1)/12)+1</f>
        <v/>
      </c>
      <c r="C81" s="24">
        <f>REDONDEAR(C80*(1-'Parámetros'!$B$7)^(1/12),0)</f>
        <v/>
      </c>
      <c r="D81" s="25">
        <f>C81*'Parámetros'!$B$6</f>
        <v/>
      </c>
      <c r="E81" s="25">
        <f>E80+D81</f>
        <v/>
      </c>
      <c r="F81" s="25">
        <f>MAX(0, MIN('Parámetros'!$B$15-G80, D81*'Parámetros'!$B$16))</f>
        <v/>
      </c>
      <c r="G81" s="25">
        <f>G80+F81</f>
        <v/>
      </c>
      <c r="H81" s="25">
        <f>H80+IF(J81&gt;J80,(J81-J80)*('Parámetros'!$B$12*'Parámetros'!$B$23*'Parámetros'!$B$21*'Parámetros'!$B$22*'Parámetros'!$B$24),0)</f>
        <v/>
      </c>
      <c r="I81" s="26">
        <f>E81+G81+H81</f>
        <v/>
      </c>
      <c r="J81" s="23">
        <f>ENTERO(I81/('Parámetros'!$B$10*(1+'Parámetros'!$B$13)^((78-1)/12)))</f>
        <v/>
      </c>
      <c r="K81" s="23">
        <f>J81*'Parámetros'!$B$12</f>
        <v/>
      </c>
      <c r="L81" s="23">
        <f>MAX(0,C81-K81)</f>
        <v/>
      </c>
      <c r="M81" s="25">
        <f>K81*('Parámetros'!$B$26*(1+'Parámetros'!$B$27)^((78-1)/12))</f>
        <v/>
      </c>
      <c r="N81" s="25">
        <f>N80+M81</f>
        <v/>
      </c>
      <c r="O81" s="25">
        <f>IF(78&lt;='Parámetros'!$B$19,0,G81*'Parámetros'!$B$17/12)</f>
        <v/>
      </c>
      <c r="P81" s="26">
        <f>D81+M81-O81</f>
        <v/>
      </c>
      <c r="Q81" s="26">
        <f>Q80+P81</f>
        <v/>
      </c>
    </row>
    <row r="82">
      <c r="A82" s="19" t="n">
        <v>79</v>
      </c>
      <c r="B82" s="19">
        <f>INT((79-1)/12)+1</f>
        <v/>
      </c>
      <c r="C82" s="20">
        <f>REDONDEAR(C81*(1-'Parámetros'!$B$7)^(1/12),0)</f>
        <v/>
      </c>
      <c r="D82" s="21">
        <f>C82*'Parámetros'!$B$6</f>
        <v/>
      </c>
      <c r="E82" s="21">
        <f>E81+D82</f>
        <v/>
      </c>
      <c r="F82" s="21">
        <f>MAX(0, MIN('Parámetros'!$B$15-G81, D82*'Parámetros'!$B$16))</f>
        <v/>
      </c>
      <c r="G82" s="21">
        <f>G81+F82</f>
        <v/>
      </c>
      <c r="H82" s="21">
        <f>H81+IF(J82&gt;J81,(J82-J81)*('Parámetros'!$B$12*'Parámetros'!$B$23*'Parámetros'!$B$21*'Parámetros'!$B$22*'Parámetros'!$B$24),0)</f>
        <v/>
      </c>
      <c r="I82" s="22">
        <f>E82+G82+H82</f>
        <v/>
      </c>
      <c r="J82" s="19">
        <f>ENTERO(I82/('Parámetros'!$B$10*(1+'Parámetros'!$B$13)^((79-1)/12)))</f>
        <v/>
      </c>
      <c r="K82" s="19">
        <f>J82*'Parámetros'!$B$12</f>
        <v/>
      </c>
      <c r="L82" s="19">
        <f>MAX(0,C82-K82)</f>
        <v/>
      </c>
      <c r="M82" s="21">
        <f>K82*('Parámetros'!$B$26*(1+'Parámetros'!$B$27)^((79-1)/12))</f>
        <v/>
      </c>
      <c r="N82" s="21">
        <f>N81+M82</f>
        <v/>
      </c>
      <c r="O82" s="21">
        <f>IF(79&lt;='Parámetros'!$B$19,0,G82*'Parámetros'!$B$17/12)</f>
        <v/>
      </c>
      <c r="P82" s="22">
        <f>D82+M82-O82</f>
        <v/>
      </c>
      <c r="Q82" s="22">
        <f>Q81+P82</f>
        <v/>
      </c>
    </row>
    <row r="83">
      <c r="A83" s="23" t="n">
        <v>80</v>
      </c>
      <c r="B83" s="23">
        <f>INT((80-1)/12)+1</f>
        <v/>
      </c>
      <c r="C83" s="24">
        <f>REDONDEAR(C82*(1-'Parámetros'!$B$7)^(1/12),0)</f>
        <v/>
      </c>
      <c r="D83" s="25">
        <f>C83*'Parámetros'!$B$6</f>
        <v/>
      </c>
      <c r="E83" s="25">
        <f>E82+D83</f>
        <v/>
      </c>
      <c r="F83" s="25">
        <f>MAX(0, MIN('Parámetros'!$B$15-G82, D83*'Parámetros'!$B$16))</f>
        <v/>
      </c>
      <c r="G83" s="25">
        <f>G82+F83</f>
        <v/>
      </c>
      <c r="H83" s="25">
        <f>H82+IF(J83&gt;J82,(J83-J82)*('Parámetros'!$B$12*'Parámetros'!$B$23*'Parámetros'!$B$21*'Parámetros'!$B$22*'Parámetros'!$B$24),0)</f>
        <v/>
      </c>
      <c r="I83" s="26">
        <f>E83+G83+H83</f>
        <v/>
      </c>
      <c r="J83" s="23">
        <f>ENTERO(I83/('Parámetros'!$B$10*(1+'Parámetros'!$B$13)^((80-1)/12)))</f>
        <v/>
      </c>
      <c r="K83" s="23">
        <f>J83*'Parámetros'!$B$12</f>
        <v/>
      </c>
      <c r="L83" s="23">
        <f>MAX(0,C83-K83)</f>
        <v/>
      </c>
      <c r="M83" s="25">
        <f>K83*('Parámetros'!$B$26*(1+'Parámetros'!$B$27)^((80-1)/12))</f>
        <v/>
      </c>
      <c r="N83" s="25">
        <f>N82+M83</f>
        <v/>
      </c>
      <c r="O83" s="25">
        <f>IF(80&lt;='Parámetros'!$B$19,0,G83*'Parámetros'!$B$17/12)</f>
        <v/>
      </c>
      <c r="P83" s="26">
        <f>D83+M83-O83</f>
        <v/>
      </c>
      <c r="Q83" s="26">
        <f>Q82+P83</f>
        <v/>
      </c>
    </row>
    <row r="84">
      <c r="A84" s="19" t="n">
        <v>81</v>
      </c>
      <c r="B84" s="19">
        <f>INT((81-1)/12)+1</f>
        <v/>
      </c>
      <c r="C84" s="20">
        <f>REDONDEAR(C83*(1-'Parámetros'!$B$7)^(1/12),0)</f>
        <v/>
      </c>
      <c r="D84" s="21">
        <f>C84*'Parámetros'!$B$6</f>
        <v/>
      </c>
      <c r="E84" s="21">
        <f>E83+D84</f>
        <v/>
      </c>
      <c r="F84" s="21">
        <f>MAX(0, MIN('Parámetros'!$B$15-G83, D84*'Parámetros'!$B$16))</f>
        <v/>
      </c>
      <c r="G84" s="21">
        <f>G83+F84</f>
        <v/>
      </c>
      <c r="H84" s="21">
        <f>H83+IF(J84&gt;J83,(J84-J83)*('Parámetros'!$B$12*'Parámetros'!$B$23*'Parámetros'!$B$21*'Parámetros'!$B$22*'Parámetros'!$B$24),0)</f>
        <v/>
      </c>
      <c r="I84" s="22">
        <f>E84+G84+H84</f>
        <v/>
      </c>
      <c r="J84" s="19">
        <f>ENTERO(I84/('Parámetros'!$B$10*(1+'Parámetros'!$B$13)^((81-1)/12)))</f>
        <v/>
      </c>
      <c r="K84" s="19">
        <f>J84*'Parámetros'!$B$12</f>
        <v/>
      </c>
      <c r="L84" s="19">
        <f>MAX(0,C84-K84)</f>
        <v/>
      </c>
      <c r="M84" s="21">
        <f>K84*('Parámetros'!$B$26*(1+'Parámetros'!$B$27)^((81-1)/12))</f>
        <v/>
      </c>
      <c r="N84" s="21">
        <f>N83+M84</f>
        <v/>
      </c>
      <c r="O84" s="21">
        <f>IF(81&lt;='Parámetros'!$B$19,0,G84*'Parámetros'!$B$17/12)</f>
        <v/>
      </c>
      <c r="P84" s="22">
        <f>D84+M84-O84</f>
        <v/>
      </c>
      <c r="Q84" s="22">
        <f>Q83+P84</f>
        <v/>
      </c>
    </row>
    <row r="85">
      <c r="A85" s="23" t="n">
        <v>82</v>
      </c>
      <c r="B85" s="23">
        <f>INT((82-1)/12)+1</f>
        <v/>
      </c>
      <c r="C85" s="24">
        <f>REDONDEAR(C84*(1-'Parámetros'!$B$7)^(1/12),0)</f>
        <v/>
      </c>
      <c r="D85" s="25">
        <f>C85*'Parámetros'!$B$6</f>
        <v/>
      </c>
      <c r="E85" s="25">
        <f>E84+D85</f>
        <v/>
      </c>
      <c r="F85" s="25">
        <f>MAX(0, MIN('Parámetros'!$B$15-G84, D85*'Parámetros'!$B$16))</f>
        <v/>
      </c>
      <c r="G85" s="25">
        <f>G84+F85</f>
        <v/>
      </c>
      <c r="H85" s="25">
        <f>H84+IF(J85&gt;J84,(J85-J84)*('Parámetros'!$B$12*'Parámetros'!$B$23*'Parámetros'!$B$21*'Parámetros'!$B$22*'Parámetros'!$B$24),0)</f>
        <v/>
      </c>
      <c r="I85" s="26">
        <f>E85+G85+H85</f>
        <v/>
      </c>
      <c r="J85" s="23">
        <f>ENTERO(I85/('Parámetros'!$B$10*(1+'Parámetros'!$B$13)^((82-1)/12)))</f>
        <v/>
      </c>
      <c r="K85" s="23">
        <f>J85*'Parámetros'!$B$12</f>
        <v/>
      </c>
      <c r="L85" s="23">
        <f>MAX(0,C85-K85)</f>
        <v/>
      </c>
      <c r="M85" s="25">
        <f>K85*('Parámetros'!$B$26*(1+'Parámetros'!$B$27)^((82-1)/12))</f>
        <v/>
      </c>
      <c r="N85" s="25">
        <f>N84+M85</f>
        <v/>
      </c>
      <c r="O85" s="25">
        <f>IF(82&lt;='Parámetros'!$B$19,0,G85*'Parámetros'!$B$17/12)</f>
        <v/>
      </c>
      <c r="P85" s="26">
        <f>D85+M85-O85</f>
        <v/>
      </c>
      <c r="Q85" s="26">
        <f>Q84+P85</f>
        <v/>
      </c>
    </row>
    <row r="86">
      <c r="A86" s="19" t="n">
        <v>83</v>
      </c>
      <c r="B86" s="19">
        <f>INT((83-1)/12)+1</f>
        <v/>
      </c>
      <c r="C86" s="20">
        <f>REDONDEAR(C85*(1-'Parámetros'!$B$7)^(1/12),0)</f>
        <v/>
      </c>
      <c r="D86" s="21">
        <f>C86*'Parámetros'!$B$6</f>
        <v/>
      </c>
      <c r="E86" s="21">
        <f>E85+D86</f>
        <v/>
      </c>
      <c r="F86" s="21">
        <f>MAX(0, MIN('Parámetros'!$B$15-G85, D86*'Parámetros'!$B$16))</f>
        <v/>
      </c>
      <c r="G86" s="21">
        <f>G85+F86</f>
        <v/>
      </c>
      <c r="H86" s="21">
        <f>H85+IF(J86&gt;J85,(J86-J85)*('Parámetros'!$B$12*'Parámetros'!$B$23*'Parámetros'!$B$21*'Parámetros'!$B$22*'Parámetros'!$B$24),0)</f>
        <v/>
      </c>
      <c r="I86" s="22">
        <f>E86+G86+H86</f>
        <v/>
      </c>
      <c r="J86" s="19">
        <f>ENTERO(I86/('Parámetros'!$B$10*(1+'Parámetros'!$B$13)^((83-1)/12)))</f>
        <v/>
      </c>
      <c r="K86" s="19">
        <f>J86*'Parámetros'!$B$12</f>
        <v/>
      </c>
      <c r="L86" s="19">
        <f>MAX(0,C86-K86)</f>
        <v/>
      </c>
      <c r="M86" s="21">
        <f>K86*('Parámetros'!$B$26*(1+'Parámetros'!$B$27)^((83-1)/12))</f>
        <v/>
      </c>
      <c r="N86" s="21">
        <f>N85+M86</f>
        <v/>
      </c>
      <c r="O86" s="21">
        <f>IF(83&lt;='Parámetros'!$B$19,0,G86*'Parámetros'!$B$17/12)</f>
        <v/>
      </c>
      <c r="P86" s="22">
        <f>D86+M86-O86</f>
        <v/>
      </c>
      <c r="Q86" s="22">
        <f>Q85+P86</f>
        <v/>
      </c>
    </row>
    <row r="87">
      <c r="A87" s="23" t="n">
        <v>84</v>
      </c>
      <c r="B87" s="23">
        <f>INT((84-1)/12)+1</f>
        <v/>
      </c>
      <c r="C87" s="24">
        <f>REDONDEAR(C86*(1-'Parámetros'!$B$7)^(1/12),0)</f>
        <v/>
      </c>
      <c r="D87" s="25">
        <f>C87*'Parámetros'!$B$6</f>
        <v/>
      </c>
      <c r="E87" s="25">
        <f>E86+D87</f>
        <v/>
      </c>
      <c r="F87" s="25">
        <f>MAX(0, MIN('Parámetros'!$B$15-G86, D87*'Parámetros'!$B$16))</f>
        <v/>
      </c>
      <c r="G87" s="25">
        <f>G86+F87</f>
        <v/>
      </c>
      <c r="H87" s="25">
        <f>H86+IF(J87&gt;J86,(J87-J86)*('Parámetros'!$B$12*'Parámetros'!$B$23*'Parámetros'!$B$21*'Parámetros'!$B$22*'Parámetros'!$B$24),0)</f>
        <v/>
      </c>
      <c r="I87" s="26">
        <f>E87+G87+H87</f>
        <v/>
      </c>
      <c r="J87" s="23">
        <f>ENTERO(I87/('Parámetros'!$B$10*(1+'Parámetros'!$B$13)^((84-1)/12)))</f>
        <v/>
      </c>
      <c r="K87" s="23">
        <f>J87*'Parámetros'!$B$12</f>
        <v/>
      </c>
      <c r="L87" s="23">
        <f>MAX(0,C87-K87)</f>
        <v/>
      </c>
      <c r="M87" s="25">
        <f>K87*('Parámetros'!$B$26*(1+'Parámetros'!$B$27)^((84-1)/12))</f>
        <v/>
      </c>
      <c r="N87" s="25">
        <f>N86+M87</f>
        <v/>
      </c>
      <c r="O87" s="25">
        <f>IF(84&lt;='Parámetros'!$B$19,0,G87*'Parámetros'!$B$17/12)</f>
        <v/>
      </c>
      <c r="P87" s="26">
        <f>D87+M87-O87</f>
        <v/>
      </c>
      <c r="Q87" s="26">
        <f>Q86+P87</f>
        <v/>
      </c>
    </row>
    <row r="88">
      <c r="A88" s="19" t="n">
        <v>85</v>
      </c>
      <c r="B88" s="19">
        <f>INT((85-1)/12)+1</f>
        <v/>
      </c>
      <c r="C88" s="20">
        <f>REDONDEAR(C87*(1-'Parámetros'!$B$7)^(1/12),0)</f>
        <v/>
      </c>
      <c r="D88" s="21">
        <f>C88*'Parámetros'!$B$6</f>
        <v/>
      </c>
      <c r="E88" s="21">
        <f>E87+D88</f>
        <v/>
      </c>
      <c r="F88" s="21">
        <f>MAX(0, MIN('Parámetros'!$B$15-G87, D88*'Parámetros'!$B$16))</f>
        <v/>
      </c>
      <c r="G88" s="21">
        <f>G87+F88</f>
        <v/>
      </c>
      <c r="H88" s="21">
        <f>H87+IF(J88&gt;J87,(J88-J87)*('Parámetros'!$B$12*'Parámetros'!$B$23*'Parámetros'!$B$21*'Parámetros'!$B$22*'Parámetros'!$B$24),0)</f>
        <v/>
      </c>
      <c r="I88" s="22">
        <f>E88+G88+H88</f>
        <v/>
      </c>
      <c r="J88" s="19">
        <f>ENTERO(I88/('Parámetros'!$B$10*(1+'Parámetros'!$B$13)^((85-1)/12)))</f>
        <v/>
      </c>
      <c r="K88" s="19">
        <f>J88*'Parámetros'!$B$12</f>
        <v/>
      </c>
      <c r="L88" s="19">
        <f>MAX(0,C88-K88)</f>
        <v/>
      </c>
      <c r="M88" s="21">
        <f>K88*('Parámetros'!$B$26*(1+'Parámetros'!$B$27)^((85-1)/12))</f>
        <v/>
      </c>
      <c r="N88" s="21">
        <f>N87+M88</f>
        <v/>
      </c>
      <c r="O88" s="21">
        <f>IF(85&lt;='Parámetros'!$B$19,0,G88*'Parámetros'!$B$17/12)</f>
        <v/>
      </c>
      <c r="P88" s="22">
        <f>D88+M88-O88</f>
        <v/>
      </c>
      <c r="Q88" s="22">
        <f>Q87+P88</f>
        <v/>
      </c>
    </row>
    <row r="89">
      <c r="A89" s="23" t="n">
        <v>86</v>
      </c>
      <c r="B89" s="23">
        <f>INT((86-1)/12)+1</f>
        <v/>
      </c>
      <c r="C89" s="24">
        <f>REDONDEAR(C88*(1-'Parámetros'!$B$7)^(1/12),0)</f>
        <v/>
      </c>
      <c r="D89" s="25">
        <f>C89*'Parámetros'!$B$6</f>
        <v/>
      </c>
      <c r="E89" s="25">
        <f>E88+D89</f>
        <v/>
      </c>
      <c r="F89" s="25">
        <f>MAX(0, MIN('Parámetros'!$B$15-G88, D89*'Parámetros'!$B$16))</f>
        <v/>
      </c>
      <c r="G89" s="25">
        <f>G88+F89</f>
        <v/>
      </c>
      <c r="H89" s="25">
        <f>H88+IF(J89&gt;J88,(J89-J88)*('Parámetros'!$B$12*'Parámetros'!$B$23*'Parámetros'!$B$21*'Parámetros'!$B$22*'Parámetros'!$B$24),0)</f>
        <v/>
      </c>
      <c r="I89" s="26">
        <f>E89+G89+H89</f>
        <v/>
      </c>
      <c r="J89" s="23">
        <f>ENTERO(I89/('Parámetros'!$B$10*(1+'Parámetros'!$B$13)^((86-1)/12)))</f>
        <v/>
      </c>
      <c r="K89" s="23">
        <f>J89*'Parámetros'!$B$12</f>
        <v/>
      </c>
      <c r="L89" s="23">
        <f>MAX(0,C89-K89)</f>
        <v/>
      </c>
      <c r="M89" s="25">
        <f>K89*('Parámetros'!$B$26*(1+'Parámetros'!$B$27)^((86-1)/12))</f>
        <v/>
      </c>
      <c r="N89" s="25">
        <f>N88+M89</f>
        <v/>
      </c>
      <c r="O89" s="25">
        <f>IF(86&lt;='Parámetros'!$B$19,0,G89*'Parámetros'!$B$17/12)</f>
        <v/>
      </c>
      <c r="P89" s="26">
        <f>D89+M89-O89</f>
        <v/>
      </c>
      <c r="Q89" s="26">
        <f>Q88+P89</f>
        <v/>
      </c>
    </row>
    <row r="90">
      <c r="A90" s="19" t="n">
        <v>87</v>
      </c>
      <c r="B90" s="19">
        <f>INT((87-1)/12)+1</f>
        <v/>
      </c>
      <c r="C90" s="20">
        <f>REDONDEAR(C89*(1-'Parámetros'!$B$7)^(1/12),0)</f>
        <v/>
      </c>
      <c r="D90" s="21">
        <f>C90*'Parámetros'!$B$6</f>
        <v/>
      </c>
      <c r="E90" s="21">
        <f>E89+D90</f>
        <v/>
      </c>
      <c r="F90" s="21">
        <f>MAX(0, MIN('Parámetros'!$B$15-G89, D90*'Parámetros'!$B$16))</f>
        <v/>
      </c>
      <c r="G90" s="21">
        <f>G89+F90</f>
        <v/>
      </c>
      <c r="H90" s="21">
        <f>H89+IF(J90&gt;J89,(J90-J89)*('Parámetros'!$B$12*'Parámetros'!$B$23*'Parámetros'!$B$21*'Parámetros'!$B$22*'Parámetros'!$B$24),0)</f>
        <v/>
      </c>
      <c r="I90" s="22">
        <f>E90+G90+H90</f>
        <v/>
      </c>
      <c r="J90" s="19">
        <f>ENTERO(I90/('Parámetros'!$B$10*(1+'Parámetros'!$B$13)^((87-1)/12)))</f>
        <v/>
      </c>
      <c r="K90" s="19">
        <f>J90*'Parámetros'!$B$12</f>
        <v/>
      </c>
      <c r="L90" s="19">
        <f>MAX(0,C90-K90)</f>
        <v/>
      </c>
      <c r="M90" s="21">
        <f>K90*('Parámetros'!$B$26*(1+'Parámetros'!$B$27)^((87-1)/12))</f>
        <v/>
      </c>
      <c r="N90" s="21">
        <f>N89+M90</f>
        <v/>
      </c>
      <c r="O90" s="21">
        <f>IF(87&lt;='Parámetros'!$B$19,0,G90*'Parámetros'!$B$17/12)</f>
        <v/>
      </c>
      <c r="P90" s="22">
        <f>D90+M90-O90</f>
        <v/>
      </c>
      <c r="Q90" s="22">
        <f>Q89+P90</f>
        <v/>
      </c>
    </row>
    <row r="91">
      <c r="A91" s="23" t="n">
        <v>88</v>
      </c>
      <c r="B91" s="23">
        <f>INT((88-1)/12)+1</f>
        <v/>
      </c>
      <c r="C91" s="24">
        <f>REDONDEAR(C90*(1-'Parámetros'!$B$7)^(1/12),0)</f>
        <v/>
      </c>
      <c r="D91" s="25">
        <f>C91*'Parámetros'!$B$6</f>
        <v/>
      </c>
      <c r="E91" s="25">
        <f>E90+D91</f>
        <v/>
      </c>
      <c r="F91" s="25">
        <f>MAX(0, MIN('Parámetros'!$B$15-G90, D91*'Parámetros'!$B$16))</f>
        <v/>
      </c>
      <c r="G91" s="25">
        <f>G90+F91</f>
        <v/>
      </c>
      <c r="H91" s="25">
        <f>H90+IF(J91&gt;J90,(J91-J90)*('Parámetros'!$B$12*'Parámetros'!$B$23*'Parámetros'!$B$21*'Parámetros'!$B$22*'Parámetros'!$B$24),0)</f>
        <v/>
      </c>
      <c r="I91" s="26">
        <f>E91+G91+H91</f>
        <v/>
      </c>
      <c r="J91" s="23">
        <f>ENTERO(I91/('Parámetros'!$B$10*(1+'Parámetros'!$B$13)^((88-1)/12)))</f>
        <v/>
      </c>
      <c r="K91" s="23">
        <f>J91*'Parámetros'!$B$12</f>
        <v/>
      </c>
      <c r="L91" s="23">
        <f>MAX(0,C91-K91)</f>
        <v/>
      </c>
      <c r="M91" s="25">
        <f>K91*('Parámetros'!$B$26*(1+'Parámetros'!$B$27)^((88-1)/12))</f>
        <v/>
      </c>
      <c r="N91" s="25">
        <f>N90+M91</f>
        <v/>
      </c>
      <c r="O91" s="25">
        <f>IF(88&lt;='Parámetros'!$B$19,0,G91*'Parámetros'!$B$17/12)</f>
        <v/>
      </c>
      <c r="P91" s="26">
        <f>D91+M91-O91</f>
        <v/>
      </c>
      <c r="Q91" s="26">
        <f>Q90+P91</f>
        <v/>
      </c>
    </row>
    <row r="92">
      <c r="A92" s="19" t="n">
        <v>89</v>
      </c>
      <c r="B92" s="19">
        <f>INT((89-1)/12)+1</f>
        <v/>
      </c>
      <c r="C92" s="20">
        <f>REDONDEAR(C91*(1-'Parámetros'!$B$7)^(1/12),0)</f>
        <v/>
      </c>
      <c r="D92" s="21">
        <f>C92*'Parámetros'!$B$6</f>
        <v/>
      </c>
      <c r="E92" s="21">
        <f>E91+D92</f>
        <v/>
      </c>
      <c r="F92" s="21">
        <f>MAX(0, MIN('Parámetros'!$B$15-G91, D92*'Parámetros'!$B$16))</f>
        <v/>
      </c>
      <c r="G92" s="21">
        <f>G91+F92</f>
        <v/>
      </c>
      <c r="H92" s="21">
        <f>H91+IF(J92&gt;J91,(J92-J91)*('Parámetros'!$B$12*'Parámetros'!$B$23*'Parámetros'!$B$21*'Parámetros'!$B$22*'Parámetros'!$B$24),0)</f>
        <v/>
      </c>
      <c r="I92" s="22">
        <f>E92+G92+H92</f>
        <v/>
      </c>
      <c r="J92" s="19">
        <f>ENTERO(I92/('Parámetros'!$B$10*(1+'Parámetros'!$B$13)^((89-1)/12)))</f>
        <v/>
      </c>
      <c r="K92" s="19">
        <f>J92*'Parámetros'!$B$12</f>
        <v/>
      </c>
      <c r="L92" s="19">
        <f>MAX(0,C92-K92)</f>
        <v/>
      </c>
      <c r="M92" s="21">
        <f>K92*('Parámetros'!$B$26*(1+'Parámetros'!$B$27)^((89-1)/12))</f>
        <v/>
      </c>
      <c r="N92" s="21">
        <f>N91+M92</f>
        <v/>
      </c>
      <c r="O92" s="21">
        <f>IF(89&lt;='Parámetros'!$B$19,0,G92*'Parámetros'!$B$17/12)</f>
        <v/>
      </c>
      <c r="P92" s="22">
        <f>D92+M92-O92</f>
        <v/>
      </c>
      <c r="Q92" s="22">
        <f>Q91+P92</f>
        <v/>
      </c>
    </row>
    <row r="93">
      <c r="A93" s="23" t="n">
        <v>90</v>
      </c>
      <c r="B93" s="23">
        <f>INT((90-1)/12)+1</f>
        <v/>
      </c>
      <c r="C93" s="24">
        <f>REDONDEAR(C92*(1-'Parámetros'!$B$7)^(1/12),0)</f>
        <v/>
      </c>
      <c r="D93" s="25">
        <f>C93*'Parámetros'!$B$6</f>
        <v/>
      </c>
      <c r="E93" s="25">
        <f>E92+D93</f>
        <v/>
      </c>
      <c r="F93" s="25">
        <f>MAX(0, MIN('Parámetros'!$B$15-G92, D93*'Parámetros'!$B$16))</f>
        <v/>
      </c>
      <c r="G93" s="25">
        <f>G92+F93</f>
        <v/>
      </c>
      <c r="H93" s="25">
        <f>H92+IF(J93&gt;J92,(J93-J92)*('Parámetros'!$B$12*'Parámetros'!$B$23*'Parámetros'!$B$21*'Parámetros'!$B$22*'Parámetros'!$B$24),0)</f>
        <v/>
      </c>
      <c r="I93" s="26">
        <f>E93+G93+H93</f>
        <v/>
      </c>
      <c r="J93" s="23">
        <f>ENTERO(I93/('Parámetros'!$B$10*(1+'Parámetros'!$B$13)^((90-1)/12)))</f>
        <v/>
      </c>
      <c r="K93" s="23">
        <f>J93*'Parámetros'!$B$12</f>
        <v/>
      </c>
      <c r="L93" s="23">
        <f>MAX(0,C93-K93)</f>
        <v/>
      </c>
      <c r="M93" s="25">
        <f>K93*('Parámetros'!$B$26*(1+'Parámetros'!$B$27)^((90-1)/12))</f>
        <v/>
      </c>
      <c r="N93" s="25">
        <f>N92+M93</f>
        <v/>
      </c>
      <c r="O93" s="25">
        <f>IF(90&lt;='Parámetros'!$B$19,0,G93*'Parámetros'!$B$17/12)</f>
        <v/>
      </c>
      <c r="P93" s="26">
        <f>D93+M93-O93</f>
        <v/>
      </c>
      <c r="Q93" s="26">
        <f>Q92+P93</f>
        <v/>
      </c>
    </row>
    <row r="94">
      <c r="A94" s="19" t="n">
        <v>91</v>
      </c>
      <c r="B94" s="19">
        <f>INT((91-1)/12)+1</f>
        <v/>
      </c>
      <c r="C94" s="20">
        <f>REDONDEAR(C93*(1-'Parámetros'!$B$7)^(1/12),0)</f>
        <v/>
      </c>
      <c r="D94" s="21">
        <f>C94*'Parámetros'!$B$6</f>
        <v/>
      </c>
      <c r="E94" s="21">
        <f>E93+D94</f>
        <v/>
      </c>
      <c r="F94" s="21">
        <f>MAX(0, MIN('Parámetros'!$B$15-G93, D94*'Parámetros'!$B$16))</f>
        <v/>
      </c>
      <c r="G94" s="21">
        <f>G93+F94</f>
        <v/>
      </c>
      <c r="H94" s="21">
        <f>H93+IF(J94&gt;J93,(J94-J93)*('Parámetros'!$B$12*'Parámetros'!$B$23*'Parámetros'!$B$21*'Parámetros'!$B$22*'Parámetros'!$B$24),0)</f>
        <v/>
      </c>
      <c r="I94" s="22">
        <f>E94+G94+H94</f>
        <v/>
      </c>
      <c r="J94" s="19">
        <f>ENTERO(I94/('Parámetros'!$B$10*(1+'Parámetros'!$B$13)^((91-1)/12)))</f>
        <v/>
      </c>
      <c r="K94" s="19">
        <f>J94*'Parámetros'!$B$12</f>
        <v/>
      </c>
      <c r="L94" s="19">
        <f>MAX(0,C94-K94)</f>
        <v/>
      </c>
      <c r="M94" s="21">
        <f>K94*('Parámetros'!$B$26*(1+'Parámetros'!$B$27)^((91-1)/12))</f>
        <v/>
      </c>
      <c r="N94" s="21">
        <f>N93+M94</f>
        <v/>
      </c>
      <c r="O94" s="21">
        <f>IF(91&lt;='Parámetros'!$B$19,0,G94*'Parámetros'!$B$17/12)</f>
        <v/>
      </c>
      <c r="P94" s="22">
        <f>D94+M94-O94</f>
        <v/>
      </c>
      <c r="Q94" s="22">
        <f>Q93+P94</f>
        <v/>
      </c>
    </row>
    <row r="95">
      <c r="A95" s="23" t="n">
        <v>92</v>
      </c>
      <c r="B95" s="23">
        <f>INT((92-1)/12)+1</f>
        <v/>
      </c>
      <c r="C95" s="24">
        <f>REDONDEAR(C94*(1-'Parámetros'!$B$7)^(1/12),0)</f>
        <v/>
      </c>
      <c r="D95" s="25">
        <f>C95*'Parámetros'!$B$6</f>
        <v/>
      </c>
      <c r="E95" s="25">
        <f>E94+D95</f>
        <v/>
      </c>
      <c r="F95" s="25">
        <f>MAX(0, MIN('Parámetros'!$B$15-G94, D95*'Parámetros'!$B$16))</f>
        <v/>
      </c>
      <c r="G95" s="25">
        <f>G94+F95</f>
        <v/>
      </c>
      <c r="H95" s="25">
        <f>H94+IF(J95&gt;J94,(J95-J94)*('Parámetros'!$B$12*'Parámetros'!$B$23*'Parámetros'!$B$21*'Parámetros'!$B$22*'Parámetros'!$B$24),0)</f>
        <v/>
      </c>
      <c r="I95" s="26">
        <f>E95+G95+H95</f>
        <v/>
      </c>
      <c r="J95" s="23">
        <f>ENTERO(I95/('Parámetros'!$B$10*(1+'Parámetros'!$B$13)^((92-1)/12)))</f>
        <v/>
      </c>
      <c r="K95" s="23">
        <f>J95*'Parámetros'!$B$12</f>
        <v/>
      </c>
      <c r="L95" s="23">
        <f>MAX(0,C95-K95)</f>
        <v/>
      </c>
      <c r="M95" s="25">
        <f>K95*('Parámetros'!$B$26*(1+'Parámetros'!$B$27)^((92-1)/12))</f>
        <v/>
      </c>
      <c r="N95" s="25">
        <f>N94+M95</f>
        <v/>
      </c>
      <c r="O95" s="25">
        <f>IF(92&lt;='Parámetros'!$B$19,0,G95*'Parámetros'!$B$17/12)</f>
        <v/>
      </c>
      <c r="P95" s="26">
        <f>D95+M95-O95</f>
        <v/>
      </c>
      <c r="Q95" s="26">
        <f>Q94+P95</f>
        <v/>
      </c>
    </row>
    <row r="96">
      <c r="A96" s="19" t="n">
        <v>93</v>
      </c>
      <c r="B96" s="19">
        <f>INT((93-1)/12)+1</f>
        <v/>
      </c>
      <c r="C96" s="20">
        <f>REDONDEAR(C95*(1-'Parámetros'!$B$7)^(1/12),0)</f>
        <v/>
      </c>
      <c r="D96" s="21">
        <f>C96*'Parámetros'!$B$6</f>
        <v/>
      </c>
      <c r="E96" s="21">
        <f>E95+D96</f>
        <v/>
      </c>
      <c r="F96" s="21">
        <f>MAX(0, MIN('Parámetros'!$B$15-G95, D96*'Parámetros'!$B$16))</f>
        <v/>
      </c>
      <c r="G96" s="21">
        <f>G95+F96</f>
        <v/>
      </c>
      <c r="H96" s="21">
        <f>H95+IF(J96&gt;J95,(J96-J95)*('Parámetros'!$B$12*'Parámetros'!$B$23*'Parámetros'!$B$21*'Parámetros'!$B$22*'Parámetros'!$B$24),0)</f>
        <v/>
      </c>
      <c r="I96" s="22">
        <f>E96+G96+H96</f>
        <v/>
      </c>
      <c r="J96" s="19">
        <f>ENTERO(I96/('Parámetros'!$B$10*(1+'Parámetros'!$B$13)^((93-1)/12)))</f>
        <v/>
      </c>
      <c r="K96" s="19">
        <f>J96*'Parámetros'!$B$12</f>
        <v/>
      </c>
      <c r="L96" s="19">
        <f>MAX(0,C96-K96)</f>
        <v/>
      </c>
      <c r="M96" s="21">
        <f>K96*('Parámetros'!$B$26*(1+'Parámetros'!$B$27)^((93-1)/12))</f>
        <v/>
      </c>
      <c r="N96" s="21">
        <f>N95+M96</f>
        <v/>
      </c>
      <c r="O96" s="21">
        <f>IF(93&lt;='Parámetros'!$B$19,0,G96*'Parámetros'!$B$17/12)</f>
        <v/>
      </c>
      <c r="P96" s="22">
        <f>D96+M96-O96</f>
        <v/>
      </c>
      <c r="Q96" s="22">
        <f>Q95+P96</f>
        <v/>
      </c>
    </row>
    <row r="97">
      <c r="A97" s="23" t="n">
        <v>94</v>
      </c>
      <c r="B97" s="23">
        <f>INT((94-1)/12)+1</f>
        <v/>
      </c>
      <c r="C97" s="24">
        <f>REDONDEAR(C96*(1-'Parámetros'!$B$7)^(1/12),0)</f>
        <v/>
      </c>
      <c r="D97" s="25">
        <f>C97*'Parámetros'!$B$6</f>
        <v/>
      </c>
      <c r="E97" s="25">
        <f>E96+D97</f>
        <v/>
      </c>
      <c r="F97" s="25">
        <f>MAX(0, MIN('Parámetros'!$B$15-G96, D97*'Parámetros'!$B$16))</f>
        <v/>
      </c>
      <c r="G97" s="25">
        <f>G96+F97</f>
        <v/>
      </c>
      <c r="H97" s="25">
        <f>H96+IF(J97&gt;J96,(J97-J96)*('Parámetros'!$B$12*'Parámetros'!$B$23*'Parámetros'!$B$21*'Parámetros'!$B$22*'Parámetros'!$B$24),0)</f>
        <v/>
      </c>
      <c r="I97" s="26">
        <f>E97+G97+H97</f>
        <v/>
      </c>
      <c r="J97" s="23">
        <f>ENTERO(I97/('Parámetros'!$B$10*(1+'Parámetros'!$B$13)^((94-1)/12)))</f>
        <v/>
      </c>
      <c r="K97" s="23">
        <f>J97*'Parámetros'!$B$12</f>
        <v/>
      </c>
      <c r="L97" s="23">
        <f>MAX(0,C97-K97)</f>
        <v/>
      </c>
      <c r="M97" s="25">
        <f>K97*('Parámetros'!$B$26*(1+'Parámetros'!$B$27)^((94-1)/12))</f>
        <v/>
      </c>
      <c r="N97" s="25">
        <f>N96+M97</f>
        <v/>
      </c>
      <c r="O97" s="25">
        <f>IF(94&lt;='Parámetros'!$B$19,0,G97*'Parámetros'!$B$17/12)</f>
        <v/>
      </c>
      <c r="P97" s="26">
        <f>D97+M97-O97</f>
        <v/>
      </c>
      <c r="Q97" s="26">
        <f>Q96+P97</f>
        <v/>
      </c>
    </row>
    <row r="98">
      <c r="A98" s="19" t="n">
        <v>95</v>
      </c>
      <c r="B98" s="19">
        <f>INT((95-1)/12)+1</f>
        <v/>
      </c>
      <c r="C98" s="20">
        <f>REDONDEAR(C97*(1-'Parámetros'!$B$7)^(1/12),0)</f>
        <v/>
      </c>
      <c r="D98" s="21">
        <f>C98*'Parámetros'!$B$6</f>
        <v/>
      </c>
      <c r="E98" s="21">
        <f>E97+D98</f>
        <v/>
      </c>
      <c r="F98" s="21">
        <f>MAX(0, MIN('Parámetros'!$B$15-G97, D98*'Parámetros'!$B$16))</f>
        <v/>
      </c>
      <c r="G98" s="21">
        <f>G97+F98</f>
        <v/>
      </c>
      <c r="H98" s="21">
        <f>H97+IF(J98&gt;J97,(J98-J97)*('Parámetros'!$B$12*'Parámetros'!$B$23*'Parámetros'!$B$21*'Parámetros'!$B$22*'Parámetros'!$B$24),0)</f>
        <v/>
      </c>
      <c r="I98" s="22">
        <f>E98+G98+H98</f>
        <v/>
      </c>
      <c r="J98" s="19">
        <f>ENTERO(I98/('Parámetros'!$B$10*(1+'Parámetros'!$B$13)^((95-1)/12)))</f>
        <v/>
      </c>
      <c r="K98" s="19">
        <f>J98*'Parámetros'!$B$12</f>
        <v/>
      </c>
      <c r="L98" s="19">
        <f>MAX(0,C98-K98)</f>
        <v/>
      </c>
      <c r="M98" s="21">
        <f>K98*('Parámetros'!$B$26*(1+'Parámetros'!$B$27)^((95-1)/12))</f>
        <v/>
      </c>
      <c r="N98" s="21">
        <f>N97+M98</f>
        <v/>
      </c>
      <c r="O98" s="21">
        <f>IF(95&lt;='Parámetros'!$B$19,0,G98*'Parámetros'!$B$17/12)</f>
        <v/>
      </c>
      <c r="P98" s="22">
        <f>D98+M98-O98</f>
        <v/>
      </c>
      <c r="Q98" s="22">
        <f>Q97+P98</f>
        <v/>
      </c>
    </row>
    <row r="99">
      <c r="A99" s="23" t="n">
        <v>96</v>
      </c>
      <c r="B99" s="23">
        <f>INT((96-1)/12)+1</f>
        <v/>
      </c>
      <c r="C99" s="24">
        <f>REDONDEAR(C98*(1-'Parámetros'!$B$7)^(1/12),0)</f>
        <v/>
      </c>
      <c r="D99" s="25">
        <f>C99*'Parámetros'!$B$6</f>
        <v/>
      </c>
      <c r="E99" s="25">
        <f>E98+D99</f>
        <v/>
      </c>
      <c r="F99" s="25">
        <f>MAX(0, MIN('Parámetros'!$B$15-G98, D99*'Parámetros'!$B$16))</f>
        <v/>
      </c>
      <c r="G99" s="25">
        <f>G98+F99</f>
        <v/>
      </c>
      <c r="H99" s="25">
        <f>H98+IF(J99&gt;J98,(J99-J98)*('Parámetros'!$B$12*'Parámetros'!$B$23*'Parámetros'!$B$21*'Parámetros'!$B$22*'Parámetros'!$B$24),0)</f>
        <v/>
      </c>
      <c r="I99" s="26">
        <f>E99+G99+H99</f>
        <v/>
      </c>
      <c r="J99" s="23">
        <f>ENTERO(I99/('Parámetros'!$B$10*(1+'Parámetros'!$B$13)^((96-1)/12)))</f>
        <v/>
      </c>
      <c r="K99" s="23">
        <f>J99*'Parámetros'!$B$12</f>
        <v/>
      </c>
      <c r="L99" s="23">
        <f>MAX(0,C99-K99)</f>
        <v/>
      </c>
      <c r="M99" s="25">
        <f>K99*('Parámetros'!$B$26*(1+'Parámetros'!$B$27)^((96-1)/12))</f>
        <v/>
      </c>
      <c r="N99" s="25">
        <f>N98+M99</f>
        <v/>
      </c>
      <c r="O99" s="25">
        <f>IF(96&lt;='Parámetros'!$B$19,0,G99*'Parámetros'!$B$17/12)</f>
        <v/>
      </c>
      <c r="P99" s="26">
        <f>D99+M99-O99</f>
        <v/>
      </c>
      <c r="Q99" s="26">
        <f>Q98+P99</f>
        <v/>
      </c>
    </row>
    <row r="100">
      <c r="A100" s="19" t="n">
        <v>97</v>
      </c>
      <c r="B100" s="19">
        <f>INT((97-1)/12)+1</f>
        <v/>
      </c>
      <c r="C100" s="20">
        <f>REDONDEAR(C99*(1-'Parámetros'!$B$7)^(1/12),0)</f>
        <v/>
      </c>
      <c r="D100" s="21">
        <f>C100*'Parámetros'!$B$6</f>
        <v/>
      </c>
      <c r="E100" s="21">
        <f>E99+D100</f>
        <v/>
      </c>
      <c r="F100" s="21">
        <f>MAX(0, MIN('Parámetros'!$B$15-G99, D100*'Parámetros'!$B$16))</f>
        <v/>
      </c>
      <c r="G100" s="21">
        <f>G99+F100</f>
        <v/>
      </c>
      <c r="H100" s="21">
        <f>H99+IF(J100&gt;J99,(J100-J99)*('Parámetros'!$B$12*'Parámetros'!$B$23*'Parámetros'!$B$21*'Parámetros'!$B$22*'Parámetros'!$B$24),0)</f>
        <v/>
      </c>
      <c r="I100" s="22">
        <f>E100+G100+H100</f>
        <v/>
      </c>
      <c r="J100" s="19">
        <f>ENTERO(I100/('Parámetros'!$B$10*(1+'Parámetros'!$B$13)^((97-1)/12)))</f>
        <v/>
      </c>
      <c r="K100" s="19">
        <f>J100*'Parámetros'!$B$12</f>
        <v/>
      </c>
      <c r="L100" s="19">
        <f>MAX(0,C100-K100)</f>
        <v/>
      </c>
      <c r="M100" s="21">
        <f>K100*('Parámetros'!$B$26*(1+'Parámetros'!$B$27)^((97-1)/12))</f>
        <v/>
      </c>
      <c r="N100" s="21">
        <f>N99+M100</f>
        <v/>
      </c>
      <c r="O100" s="21">
        <f>IF(97&lt;='Parámetros'!$B$19,0,G100*'Parámetros'!$B$17/12)</f>
        <v/>
      </c>
      <c r="P100" s="22">
        <f>D100+M100-O100</f>
        <v/>
      </c>
      <c r="Q100" s="22">
        <f>Q99+P100</f>
        <v/>
      </c>
    </row>
    <row r="101">
      <c r="A101" s="23" t="n">
        <v>98</v>
      </c>
      <c r="B101" s="23">
        <f>INT((98-1)/12)+1</f>
        <v/>
      </c>
      <c r="C101" s="24">
        <f>REDONDEAR(C100*(1-'Parámetros'!$B$7)^(1/12),0)</f>
        <v/>
      </c>
      <c r="D101" s="25">
        <f>C101*'Parámetros'!$B$6</f>
        <v/>
      </c>
      <c r="E101" s="25">
        <f>E100+D101</f>
        <v/>
      </c>
      <c r="F101" s="25">
        <f>MAX(0, MIN('Parámetros'!$B$15-G100, D101*'Parámetros'!$B$16))</f>
        <v/>
      </c>
      <c r="G101" s="25">
        <f>G100+F101</f>
        <v/>
      </c>
      <c r="H101" s="25">
        <f>H100+IF(J101&gt;J100,(J101-J100)*('Parámetros'!$B$12*'Parámetros'!$B$23*'Parámetros'!$B$21*'Parámetros'!$B$22*'Parámetros'!$B$24),0)</f>
        <v/>
      </c>
      <c r="I101" s="26">
        <f>E101+G101+H101</f>
        <v/>
      </c>
      <c r="J101" s="23">
        <f>ENTERO(I101/('Parámetros'!$B$10*(1+'Parámetros'!$B$13)^((98-1)/12)))</f>
        <v/>
      </c>
      <c r="K101" s="23">
        <f>J101*'Parámetros'!$B$12</f>
        <v/>
      </c>
      <c r="L101" s="23">
        <f>MAX(0,C101-K101)</f>
        <v/>
      </c>
      <c r="M101" s="25">
        <f>K101*('Parámetros'!$B$26*(1+'Parámetros'!$B$27)^((98-1)/12))</f>
        <v/>
      </c>
      <c r="N101" s="25">
        <f>N100+M101</f>
        <v/>
      </c>
      <c r="O101" s="25">
        <f>IF(98&lt;='Parámetros'!$B$19,0,G101*'Parámetros'!$B$17/12)</f>
        <v/>
      </c>
      <c r="P101" s="26">
        <f>D101+M101-O101</f>
        <v/>
      </c>
      <c r="Q101" s="26">
        <f>Q100+P101</f>
        <v/>
      </c>
    </row>
    <row r="102">
      <c r="A102" s="19" t="n">
        <v>99</v>
      </c>
      <c r="B102" s="19">
        <f>INT((99-1)/12)+1</f>
        <v/>
      </c>
      <c r="C102" s="20">
        <f>REDONDEAR(C101*(1-'Parámetros'!$B$7)^(1/12),0)</f>
        <v/>
      </c>
      <c r="D102" s="21">
        <f>C102*'Parámetros'!$B$6</f>
        <v/>
      </c>
      <c r="E102" s="21">
        <f>E101+D102</f>
        <v/>
      </c>
      <c r="F102" s="21">
        <f>MAX(0, MIN('Parámetros'!$B$15-G101, D102*'Parámetros'!$B$16))</f>
        <v/>
      </c>
      <c r="G102" s="21">
        <f>G101+F102</f>
        <v/>
      </c>
      <c r="H102" s="21">
        <f>H101+IF(J102&gt;J101,(J102-J101)*('Parámetros'!$B$12*'Parámetros'!$B$23*'Parámetros'!$B$21*'Parámetros'!$B$22*'Parámetros'!$B$24),0)</f>
        <v/>
      </c>
      <c r="I102" s="22">
        <f>E102+G102+H102</f>
        <v/>
      </c>
      <c r="J102" s="19">
        <f>ENTERO(I102/('Parámetros'!$B$10*(1+'Parámetros'!$B$13)^((99-1)/12)))</f>
        <v/>
      </c>
      <c r="K102" s="19">
        <f>J102*'Parámetros'!$B$12</f>
        <v/>
      </c>
      <c r="L102" s="19">
        <f>MAX(0,C102-K102)</f>
        <v/>
      </c>
      <c r="M102" s="21">
        <f>K102*('Parámetros'!$B$26*(1+'Parámetros'!$B$27)^((99-1)/12))</f>
        <v/>
      </c>
      <c r="N102" s="21">
        <f>N101+M102</f>
        <v/>
      </c>
      <c r="O102" s="21">
        <f>IF(99&lt;='Parámetros'!$B$19,0,G102*'Parámetros'!$B$17/12)</f>
        <v/>
      </c>
      <c r="P102" s="22">
        <f>D102+M102-O102</f>
        <v/>
      </c>
      <c r="Q102" s="22">
        <f>Q101+P102</f>
        <v/>
      </c>
    </row>
    <row r="103">
      <c r="A103" s="23" t="n">
        <v>100</v>
      </c>
      <c r="B103" s="23">
        <f>INT((100-1)/12)+1</f>
        <v/>
      </c>
      <c r="C103" s="24">
        <f>REDONDEAR(C102*(1-'Parámetros'!$B$7)^(1/12),0)</f>
        <v/>
      </c>
      <c r="D103" s="25">
        <f>C103*'Parámetros'!$B$6</f>
        <v/>
      </c>
      <c r="E103" s="25">
        <f>E102+D103</f>
        <v/>
      </c>
      <c r="F103" s="25">
        <f>MAX(0, MIN('Parámetros'!$B$15-G102, D103*'Parámetros'!$B$16))</f>
        <v/>
      </c>
      <c r="G103" s="25">
        <f>G102+F103</f>
        <v/>
      </c>
      <c r="H103" s="25">
        <f>H102+IF(J103&gt;J102,(J103-J102)*('Parámetros'!$B$12*'Parámetros'!$B$23*'Parámetros'!$B$21*'Parámetros'!$B$22*'Parámetros'!$B$24),0)</f>
        <v/>
      </c>
      <c r="I103" s="26">
        <f>E103+G103+H103</f>
        <v/>
      </c>
      <c r="J103" s="23">
        <f>ENTERO(I103/('Parámetros'!$B$10*(1+'Parámetros'!$B$13)^((100-1)/12)))</f>
        <v/>
      </c>
      <c r="K103" s="23">
        <f>J103*'Parámetros'!$B$12</f>
        <v/>
      </c>
      <c r="L103" s="23">
        <f>MAX(0,C103-K103)</f>
        <v/>
      </c>
      <c r="M103" s="25">
        <f>K103*('Parámetros'!$B$26*(1+'Parámetros'!$B$27)^((100-1)/12))</f>
        <v/>
      </c>
      <c r="N103" s="25">
        <f>N102+M103</f>
        <v/>
      </c>
      <c r="O103" s="25">
        <f>IF(100&lt;='Parámetros'!$B$19,0,G103*'Parámetros'!$B$17/12)</f>
        <v/>
      </c>
      <c r="P103" s="26">
        <f>D103+M103-O103</f>
        <v/>
      </c>
      <c r="Q103" s="26">
        <f>Q102+P103</f>
        <v/>
      </c>
    </row>
    <row r="104">
      <c r="A104" s="19" t="n">
        <v>101</v>
      </c>
      <c r="B104" s="19">
        <f>INT((101-1)/12)+1</f>
        <v/>
      </c>
      <c r="C104" s="20">
        <f>REDONDEAR(C103*(1-'Parámetros'!$B$7)^(1/12),0)</f>
        <v/>
      </c>
      <c r="D104" s="21">
        <f>C104*'Parámetros'!$B$6</f>
        <v/>
      </c>
      <c r="E104" s="21">
        <f>E103+D104</f>
        <v/>
      </c>
      <c r="F104" s="21">
        <f>MAX(0, MIN('Parámetros'!$B$15-G103, D104*'Parámetros'!$B$16))</f>
        <v/>
      </c>
      <c r="G104" s="21">
        <f>G103+F104</f>
        <v/>
      </c>
      <c r="H104" s="21">
        <f>H103+IF(J104&gt;J103,(J104-J103)*('Parámetros'!$B$12*'Parámetros'!$B$23*'Parámetros'!$B$21*'Parámetros'!$B$22*'Parámetros'!$B$24),0)</f>
        <v/>
      </c>
      <c r="I104" s="22">
        <f>E104+G104+H104</f>
        <v/>
      </c>
      <c r="J104" s="19">
        <f>ENTERO(I104/('Parámetros'!$B$10*(1+'Parámetros'!$B$13)^((101-1)/12)))</f>
        <v/>
      </c>
      <c r="K104" s="19">
        <f>J104*'Parámetros'!$B$12</f>
        <v/>
      </c>
      <c r="L104" s="19">
        <f>MAX(0,C104-K104)</f>
        <v/>
      </c>
      <c r="M104" s="21">
        <f>K104*('Parámetros'!$B$26*(1+'Parámetros'!$B$27)^((101-1)/12))</f>
        <v/>
      </c>
      <c r="N104" s="21">
        <f>N103+M104</f>
        <v/>
      </c>
      <c r="O104" s="21">
        <f>IF(101&lt;='Parámetros'!$B$19,0,G104*'Parámetros'!$B$17/12)</f>
        <v/>
      </c>
      <c r="P104" s="22">
        <f>D104+M104-O104</f>
        <v/>
      </c>
      <c r="Q104" s="22">
        <f>Q103+P104</f>
        <v/>
      </c>
    </row>
    <row r="105">
      <c r="A105" s="23" t="n">
        <v>102</v>
      </c>
      <c r="B105" s="23">
        <f>INT((102-1)/12)+1</f>
        <v/>
      </c>
      <c r="C105" s="24">
        <f>REDONDEAR(C104*(1-'Parámetros'!$B$7)^(1/12),0)</f>
        <v/>
      </c>
      <c r="D105" s="25">
        <f>C105*'Parámetros'!$B$6</f>
        <v/>
      </c>
      <c r="E105" s="25">
        <f>E104+D105</f>
        <v/>
      </c>
      <c r="F105" s="25">
        <f>MAX(0, MIN('Parámetros'!$B$15-G104, D105*'Parámetros'!$B$16))</f>
        <v/>
      </c>
      <c r="G105" s="25">
        <f>G104+F105</f>
        <v/>
      </c>
      <c r="H105" s="25">
        <f>H104+IF(J105&gt;J104,(J105-J104)*('Parámetros'!$B$12*'Parámetros'!$B$23*'Parámetros'!$B$21*'Parámetros'!$B$22*'Parámetros'!$B$24),0)</f>
        <v/>
      </c>
      <c r="I105" s="26">
        <f>E105+G105+H105</f>
        <v/>
      </c>
      <c r="J105" s="23">
        <f>ENTERO(I105/('Parámetros'!$B$10*(1+'Parámetros'!$B$13)^((102-1)/12)))</f>
        <v/>
      </c>
      <c r="K105" s="23">
        <f>J105*'Parámetros'!$B$12</f>
        <v/>
      </c>
      <c r="L105" s="23">
        <f>MAX(0,C105-K105)</f>
        <v/>
      </c>
      <c r="M105" s="25">
        <f>K105*('Parámetros'!$B$26*(1+'Parámetros'!$B$27)^((102-1)/12))</f>
        <v/>
      </c>
      <c r="N105" s="25">
        <f>N104+M105</f>
        <v/>
      </c>
      <c r="O105" s="25">
        <f>IF(102&lt;='Parámetros'!$B$19,0,G105*'Parámetros'!$B$17/12)</f>
        <v/>
      </c>
      <c r="P105" s="26">
        <f>D105+M105-O105</f>
        <v/>
      </c>
      <c r="Q105" s="26">
        <f>Q104+P105</f>
        <v/>
      </c>
    </row>
    <row r="106">
      <c r="A106" s="19" t="n">
        <v>103</v>
      </c>
      <c r="B106" s="19">
        <f>INT((103-1)/12)+1</f>
        <v/>
      </c>
      <c r="C106" s="20">
        <f>REDONDEAR(C105*(1-'Parámetros'!$B$7)^(1/12),0)</f>
        <v/>
      </c>
      <c r="D106" s="21">
        <f>C106*'Parámetros'!$B$6</f>
        <v/>
      </c>
      <c r="E106" s="21">
        <f>E105+D106</f>
        <v/>
      </c>
      <c r="F106" s="21">
        <f>MAX(0, MIN('Parámetros'!$B$15-G105, D106*'Parámetros'!$B$16))</f>
        <v/>
      </c>
      <c r="G106" s="21">
        <f>G105+F106</f>
        <v/>
      </c>
      <c r="H106" s="21">
        <f>H105+IF(J106&gt;J105,(J106-J105)*('Parámetros'!$B$12*'Parámetros'!$B$23*'Parámetros'!$B$21*'Parámetros'!$B$22*'Parámetros'!$B$24),0)</f>
        <v/>
      </c>
      <c r="I106" s="22">
        <f>E106+G106+H106</f>
        <v/>
      </c>
      <c r="J106" s="19">
        <f>ENTERO(I106/('Parámetros'!$B$10*(1+'Parámetros'!$B$13)^((103-1)/12)))</f>
        <v/>
      </c>
      <c r="K106" s="19">
        <f>J106*'Parámetros'!$B$12</f>
        <v/>
      </c>
      <c r="L106" s="19">
        <f>MAX(0,C106-K106)</f>
        <v/>
      </c>
      <c r="M106" s="21">
        <f>K106*('Parámetros'!$B$26*(1+'Parámetros'!$B$27)^((103-1)/12))</f>
        <v/>
      </c>
      <c r="N106" s="21">
        <f>N105+M106</f>
        <v/>
      </c>
      <c r="O106" s="21">
        <f>IF(103&lt;='Parámetros'!$B$19,0,G106*'Parámetros'!$B$17/12)</f>
        <v/>
      </c>
      <c r="P106" s="22">
        <f>D106+M106-O106</f>
        <v/>
      </c>
      <c r="Q106" s="22">
        <f>Q105+P106</f>
        <v/>
      </c>
    </row>
    <row r="107">
      <c r="A107" s="23" t="n">
        <v>104</v>
      </c>
      <c r="B107" s="23">
        <f>INT((104-1)/12)+1</f>
        <v/>
      </c>
      <c r="C107" s="24">
        <f>REDONDEAR(C106*(1-'Parámetros'!$B$7)^(1/12),0)</f>
        <v/>
      </c>
      <c r="D107" s="25">
        <f>C107*'Parámetros'!$B$6</f>
        <v/>
      </c>
      <c r="E107" s="25">
        <f>E106+D107</f>
        <v/>
      </c>
      <c r="F107" s="25">
        <f>MAX(0, MIN('Parámetros'!$B$15-G106, D107*'Parámetros'!$B$16))</f>
        <v/>
      </c>
      <c r="G107" s="25">
        <f>G106+F107</f>
        <v/>
      </c>
      <c r="H107" s="25">
        <f>H106+IF(J107&gt;J106,(J107-J106)*('Parámetros'!$B$12*'Parámetros'!$B$23*'Parámetros'!$B$21*'Parámetros'!$B$22*'Parámetros'!$B$24),0)</f>
        <v/>
      </c>
      <c r="I107" s="26">
        <f>E107+G107+H107</f>
        <v/>
      </c>
      <c r="J107" s="23">
        <f>ENTERO(I107/('Parámetros'!$B$10*(1+'Parámetros'!$B$13)^((104-1)/12)))</f>
        <v/>
      </c>
      <c r="K107" s="23">
        <f>J107*'Parámetros'!$B$12</f>
        <v/>
      </c>
      <c r="L107" s="23">
        <f>MAX(0,C107-K107)</f>
        <v/>
      </c>
      <c r="M107" s="25">
        <f>K107*('Parámetros'!$B$26*(1+'Parámetros'!$B$27)^((104-1)/12))</f>
        <v/>
      </c>
      <c r="N107" s="25">
        <f>N106+M107</f>
        <v/>
      </c>
      <c r="O107" s="25">
        <f>IF(104&lt;='Parámetros'!$B$19,0,G107*'Parámetros'!$B$17/12)</f>
        <v/>
      </c>
      <c r="P107" s="26">
        <f>D107+M107-O107</f>
        <v/>
      </c>
      <c r="Q107" s="26">
        <f>Q106+P107</f>
        <v/>
      </c>
    </row>
    <row r="108">
      <c r="A108" s="19" t="n">
        <v>105</v>
      </c>
      <c r="B108" s="19">
        <f>INT((105-1)/12)+1</f>
        <v/>
      </c>
      <c r="C108" s="20">
        <f>REDONDEAR(C107*(1-'Parámetros'!$B$7)^(1/12),0)</f>
        <v/>
      </c>
      <c r="D108" s="21">
        <f>C108*'Parámetros'!$B$6</f>
        <v/>
      </c>
      <c r="E108" s="21">
        <f>E107+D108</f>
        <v/>
      </c>
      <c r="F108" s="21">
        <f>MAX(0, MIN('Parámetros'!$B$15-G107, D108*'Parámetros'!$B$16))</f>
        <v/>
      </c>
      <c r="G108" s="21">
        <f>G107+F108</f>
        <v/>
      </c>
      <c r="H108" s="21">
        <f>H107+IF(J108&gt;J107,(J108-J107)*('Parámetros'!$B$12*'Parámetros'!$B$23*'Parámetros'!$B$21*'Parámetros'!$B$22*'Parámetros'!$B$24),0)</f>
        <v/>
      </c>
      <c r="I108" s="22">
        <f>E108+G108+H108</f>
        <v/>
      </c>
      <c r="J108" s="19">
        <f>ENTERO(I108/('Parámetros'!$B$10*(1+'Parámetros'!$B$13)^((105-1)/12)))</f>
        <v/>
      </c>
      <c r="K108" s="19">
        <f>J108*'Parámetros'!$B$12</f>
        <v/>
      </c>
      <c r="L108" s="19">
        <f>MAX(0,C108-K108)</f>
        <v/>
      </c>
      <c r="M108" s="21">
        <f>K108*('Parámetros'!$B$26*(1+'Parámetros'!$B$27)^((105-1)/12))</f>
        <v/>
      </c>
      <c r="N108" s="21">
        <f>N107+M108</f>
        <v/>
      </c>
      <c r="O108" s="21">
        <f>IF(105&lt;='Parámetros'!$B$19,0,G108*'Parámetros'!$B$17/12)</f>
        <v/>
      </c>
      <c r="P108" s="22">
        <f>D108+M108-O108</f>
        <v/>
      </c>
      <c r="Q108" s="22">
        <f>Q107+P108</f>
        <v/>
      </c>
    </row>
    <row r="109">
      <c r="A109" s="23" t="n">
        <v>106</v>
      </c>
      <c r="B109" s="23">
        <f>INT((106-1)/12)+1</f>
        <v/>
      </c>
      <c r="C109" s="24">
        <f>REDONDEAR(C108*(1-'Parámetros'!$B$7)^(1/12),0)</f>
        <v/>
      </c>
      <c r="D109" s="25">
        <f>C109*'Parámetros'!$B$6</f>
        <v/>
      </c>
      <c r="E109" s="25">
        <f>E108+D109</f>
        <v/>
      </c>
      <c r="F109" s="25">
        <f>MAX(0, MIN('Parámetros'!$B$15-G108, D109*'Parámetros'!$B$16))</f>
        <v/>
      </c>
      <c r="G109" s="25">
        <f>G108+F109</f>
        <v/>
      </c>
      <c r="H109" s="25">
        <f>H108+IF(J109&gt;J108,(J109-J108)*('Parámetros'!$B$12*'Parámetros'!$B$23*'Parámetros'!$B$21*'Parámetros'!$B$22*'Parámetros'!$B$24),0)</f>
        <v/>
      </c>
      <c r="I109" s="26">
        <f>E109+G109+H109</f>
        <v/>
      </c>
      <c r="J109" s="23">
        <f>ENTERO(I109/('Parámetros'!$B$10*(1+'Parámetros'!$B$13)^((106-1)/12)))</f>
        <v/>
      </c>
      <c r="K109" s="23">
        <f>J109*'Parámetros'!$B$12</f>
        <v/>
      </c>
      <c r="L109" s="23">
        <f>MAX(0,C109-K109)</f>
        <v/>
      </c>
      <c r="M109" s="25">
        <f>K109*('Parámetros'!$B$26*(1+'Parámetros'!$B$27)^((106-1)/12))</f>
        <v/>
      </c>
      <c r="N109" s="25">
        <f>N108+M109</f>
        <v/>
      </c>
      <c r="O109" s="25">
        <f>IF(106&lt;='Parámetros'!$B$19,0,G109*'Parámetros'!$B$17/12)</f>
        <v/>
      </c>
      <c r="P109" s="26">
        <f>D109+M109-O109</f>
        <v/>
      </c>
      <c r="Q109" s="26">
        <f>Q108+P109</f>
        <v/>
      </c>
    </row>
    <row r="110">
      <c r="A110" s="19" t="n">
        <v>107</v>
      </c>
      <c r="B110" s="19">
        <f>INT((107-1)/12)+1</f>
        <v/>
      </c>
      <c r="C110" s="20">
        <f>REDONDEAR(C109*(1-'Parámetros'!$B$7)^(1/12),0)</f>
        <v/>
      </c>
      <c r="D110" s="21">
        <f>C110*'Parámetros'!$B$6</f>
        <v/>
      </c>
      <c r="E110" s="21">
        <f>E109+D110</f>
        <v/>
      </c>
      <c r="F110" s="21">
        <f>MAX(0, MIN('Parámetros'!$B$15-G109, D110*'Parámetros'!$B$16))</f>
        <v/>
      </c>
      <c r="G110" s="21">
        <f>G109+F110</f>
        <v/>
      </c>
      <c r="H110" s="21">
        <f>H109+IF(J110&gt;J109,(J110-J109)*('Parámetros'!$B$12*'Parámetros'!$B$23*'Parámetros'!$B$21*'Parámetros'!$B$22*'Parámetros'!$B$24),0)</f>
        <v/>
      </c>
      <c r="I110" s="22">
        <f>E110+G110+H110</f>
        <v/>
      </c>
      <c r="J110" s="19">
        <f>ENTERO(I110/('Parámetros'!$B$10*(1+'Parámetros'!$B$13)^((107-1)/12)))</f>
        <v/>
      </c>
      <c r="K110" s="19">
        <f>J110*'Parámetros'!$B$12</f>
        <v/>
      </c>
      <c r="L110" s="19">
        <f>MAX(0,C110-K110)</f>
        <v/>
      </c>
      <c r="M110" s="21">
        <f>K110*('Parámetros'!$B$26*(1+'Parámetros'!$B$27)^((107-1)/12))</f>
        <v/>
      </c>
      <c r="N110" s="21">
        <f>N109+M110</f>
        <v/>
      </c>
      <c r="O110" s="21">
        <f>IF(107&lt;='Parámetros'!$B$19,0,G110*'Parámetros'!$B$17/12)</f>
        <v/>
      </c>
      <c r="P110" s="22">
        <f>D110+M110-O110</f>
        <v/>
      </c>
      <c r="Q110" s="22">
        <f>Q109+P110</f>
        <v/>
      </c>
    </row>
    <row r="111">
      <c r="A111" s="23" t="n">
        <v>108</v>
      </c>
      <c r="B111" s="23">
        <f>INT((108-1)/12)+1</f>
        <v/>
      </c>
      <c r="C111" s="24">
        <f>REDONDEAR(C110*(1-'Parámetros'!$B$7)^(1/12),0)</f>
        <v/>
      </c>
      <c r="D111" s="25">
        <f>C111*'Parámetros'!$B$6</f>
        <v/>
      </c>
      <c r="E111" s="25">
        <f>E110+D111</f>
        <v/>
      </c>
      <c r="F111" s="25">
        <f>MAX(0, MIN('Parámetros'!$B$15-G110, D111*'Parámetros'!$B$16))</f>
        <v/>
      </c>
      <c r="G111" s="25">
        <f>G110+F111</f>
        <v/>
      </c>
      <c r="H111" s="25">
        <f>H110+IF(J111&gt;J110,(J111-J110)*('Parámetros'!$B$12*'Parámetros'!$B$23*'Parámetros'!$B$21*'Parámetros'!$B$22*'Parámetros'!$B$24),0)</f>
        <v/>
      </c>
      <c r="I111" s="26">
        <f>E111+G111+H111</f>
        <v/>
      </c>
      <c r="J111" s="23">
        <f>ENTERO(I111/('Parámetros'!$B$10*(1+'Parámetros'!$B$13)^((108-1)/12)))</f>
        <v/>
      </c>
      <c r="K111" s="23">
        <f>J111*'Parámetros'!$B$12</f>
        <v/>
      </c>
      <c r="L111" s="23">
        <f>MAX(0,C111-K111)</f>
        <v/>
      </c>
      <c r="M111" s="25">
        <f>K111*('Parámetros'!$B$26*(1+'Parámetros'!$B$27)^((108-1)/12))</f>
        <v/>
      </c>
      <c r="N111" s="25">
        <f>N110+M111</f>
        <v/>
      </c>
      <c r="O111" s="25">
        <f>IF(108&lt;='Parámetros'!$B$19,0,G111*'Parámetros'!$B$17/12)</f>
        <v/>
      </c>
      <c r="P111" s="26">
        <f>D111+M111-O111</f>
        <v/>
      </c>
      <c r="Q111" s="26">
        <f>Q110+P111</f>
        <v/>
      </c>
    </row>
    <row r="112">
      <c r="A112" s="19" t="n">
        <v>109</v>
      </c>
      <c r="B112" s="19">
        <f>INT((109-1)/12)+1</f>
        <v/>
      </c>
      <c r="C112" s="20">
        <f>REDONDEAR(C111*(1-'Parámetros'!$B$7)^(1/12),0)</f>
        <v/>
      </c>
      <c r="D112" s="21">
        <f>C112*'Parámetros'!$B$6</f>
        <v/>
      </c>
      <c r="E112" s="21">
        <f>E111+D112</f>
        <v/>
      </c>
      <c r="F112" s="21">
        <f>MAX(0, MIN('Parámetros'!$B$15-G111, D112*'Parámetros'!$B$16))</f>
        <v/>
      </c>
      <c r="G112" s="21">
        <f>G111+F112</f>
        <v/>
      </c>
      <c r="H112" s="21">
        <f>H111+IF(J112&gt;J111,(J112-J111)*('Parámetros'!$B$12*'Parámetros'!$B$23*'Parámetros'!$B$21*'Parámetros'!$B$22*'Parámetros'!$B$24),0)</f>
        <v/>
      </c>
      <c r="I112" s="22">
        <f>E112+G112+H112</f>
        <v/>
      </c>
      <c r="J112" s="19">
        <f>ENTERO(I112/('Parámetros'!$B$10*(1+'Parámetros'!$B$13)^((109-1)/12)))</f>
        <v/>
      </c>
      <c r="K112" s="19">
        <f>J112*'Parámetros'!$B$12</f>
        <v/>
      </c>
      <c r="L112" s="19">
        <f>MAX(0,C112-K112)</f>
        <v/>
      </c>
      <c r="M112" s="21">
        <f>K112*('Parámetros'!$B$26*(1+'Parámetros'!$B$27)^((109-1)/12))</f>
        <v/>
      </c>
      <c r="N112" s="21">
        <f>N111+M112</f>
        <v/>
      </c>
      <c r="O112" s="21">
        <f>IF(109&lt;='Parámetros'!$B$19,0,G112*'Parámetros'!$B$17/12)</f>
        <v/>
      </c>
      <c r="P112" s="22">
        <f>D112+M112-O112</f>
        <v/>
      </c>
      <c r="Q112" s="22">
        <f>Q111+P112</f>
        <v/>
      </c>
    </row>
    <row r="113">
      <c r="A113" s="23" t="n">
        <v>110</v>
      </c>
      <c r="B113" s="23">
        <f>INT((110-1)/12)+1</f>
        <v/>
      </c>
      <c r="C113" s="24">
        <f>REDONDEAR(C112*(1-'Parámetros'!$B$7)^(1/12),0)</f>
        <v/>
      </c>
      <c r="D113" s="25">
        <f>C113*'Parámetros'!$B$6</f>
        <v/>
      </c>
      <c r="E113" s="25">
        <f>E112+D113</f>
        <v/>
      </c>
      <c r="F113" s="25">
        <f>MAX(0, MIN('Parámetros'!$B$15-G112, D113*'Parámetros'!$B$16))</f>
        <v/>
      </c>
      <c r="G113" s="25">
        <f>G112+F113</f>
        <v/>
      </c>
      <c r="H113" s="25">
        <f>H112+IF(J113&gt;J112,(J113-J112)*('Parámetros'!$B$12*'Parámetros'!$B$23*'Parámetros'!$B$21*'Parámetros'!$B$22*'Parámetros'!$B$24),0)</f>
        <v/>
      </c>
      <c r="I113" s="26">
        <f>E113+G113+H113</f>
        <v/>
      </c>
      <c r="J113" s="23">
        <f>ENTERO(I113/('Parámetros'!$B$10*(1+'Parámetros'!$B$13)^((110-1)/12)))</f>
        <v/>
      </c>
      <c r="K113" s="23">
        <f>J113*'Parámetros'!$B$12</f>
        <v/>
      </c>
      <c r="L113" s="23">
        <f>MAX(0,C113-K113)</f>
        <v/>
      </c>
      <c r="M113" s="25">
        <f>K113*('Parámetros'!$B$26*(1+'Parámetros'!$B$27)^((110-1)/12))</f>
        <v/>
      </c>
      <c r="N113" s="25">
        <f>N112+M113</f>
        <v/>
      </c>
      <c r="O113" s="25">
        <f>IF(110&lt;='Parámetros'!$B$19,0,G113*'Parámetros'!$B$17/12)</f>
        <v/>
      </c>
      <c r="P113" s="26">
        <f>D113+M113-O113</f>
        <v/>
      </c>
      <c r="Q113" s="26">
        <f>Q112+P113</f>
        <v/>
      </c>
    </row>
    <row r="114">
      <c r="A114" s="19" t="n">
        <v>111</v>
      </c>
      <c r="B114" s="19">
        <f>INT((111-1)/12)+1</f>
        <v/>
      </c>
      <c r="C114" s="20">
        <f>REDONDEAR(C113*(1-'Parámetros'!$B$7)^(1/12),0)</f>
        <v/>
      </c>
      <c r="D114" s="21">
        <f>C114*'Parámetros'!$B$6</f>
        <v/>
      </c>
      <c r="E114" s="21">
        <f>E113+D114</f>
        <v/>
      </c>
      <c r="F114" s="21">
        <f>MAX(0, MIN('Parámetros'!$B$15-G113, D114*'Parámetros'!$B$16))</f>
        <v/>
      </c>
      <c r="G114" s="21">
        <f>G113+F114</f>
        <v/>
      </c>
      <c r="H114" s="21">
        <f>H113+IF(J114&gt;J113,(J114-J113)*('Parámetros'!$B$12*'Parámetros'!$B$23*'Parámetros'!$B$21*'Parámetros'!$B$22*'Parámetros'!$B$24),0)</f>
        <v/>
      </c>
      <c r="I114" s="22">
        <f>E114+G114+H114</f>
        <v/>
      </c>
      <c r="J114" s="19">
        <f>ENTERO(I114/('Parámetros'!$B$10*(1+'Parámetros'!$B$13)^((111-1)/12)))</f>
        <v/>
      </c>
      <c r="K114" s="19">
        <f>J114*'Parámetros'!$B$12</f>
        <v/>
      </c>
      <c r="L114" s="19">
        <f>MAX(0,C114-K114)</f>
        <v/>
      </c>
      <c r="M114" s="21">
        <f>K114*('Parámetros'!$B$26*(1+'Parámetros'!$B$27)^((111-1)/12))</f>
        <v/>
      </c>
      <c r="N114" s="21">
        <f>N113+M114</f>
        <v/>
      </c>
      <c r="O114" s="21">
        <f>IF(111&lt;='Parámetros'!$B$19,0,G114*'Parámetros'!$B$17/12)</f>
        <v/>
      </c>
      <c r="P114" s="22">
        <f>D114+M114-O114</f>
        <v/>
      </c>
      <c r="Q114" s="22">
        <f>Q113+P114</f>
        <v/>
      </c>
    </row>
    <row r="115">
      <c r="A115" s="23" t="n">
        <v>112</v>
      </c>
      <c r="B115" s="23">
        <f>INT((112-1)/12)+1</f>
        <v/>
      </c>
      <c r="C115" s="24">
        <f>REDONDEAR(C114*(1-'Parámetros'!$B$7)^(1/12),0)</f>
        <v/>
      </c>
      <c r="D115" s="25">
        <f>C115*'Parámetros'!$B$6</f>
        <v/>
      </c>
      <c r="E115" s="25">
        <f>E114+D115</f>
        <v/>
      </c>
      <c r="F115" s="25">
        <f>MAX(0, MIN('Parámetros'!$B$15-G114, D115*'Parámetros'!$B$16))</f>
        <v/>
      </c>
      <c r="G115" s="25">
        <f>G114+F115</f>
        <v/>
      </c>
      <c r="H115" s="25">
        <f>H114+IF(J115&gt;J114,(J115-J114)*('Parámetros'!$B$12*'Parámetros'!$B$23*'Parámetros'!$B$21*'Parámetros'!$B$22*'Parámetros'!$B$24),0)</f>
        <v/>
      </c>
      <c r="I115" s="26">
        <f>E115+G115+H115</f>
        <v/>
      </c>
      <c r="J115" s="23">
        <f>ENTERO(I115/('Parámetros'!$B$10*(1+'Parámetros'!$B$13)^((112-1)/12)))</f>
        <v/>
      </c>
      <c r="K115" s="23">
        <f>J115*'Parámetros'!$B$12</f>
        <v/>
      </c>
      <c r="L115" s="23">
        <f>MAX(0,C115-K115)</f>
        <v/>
      </c>
      <c r="M115" s="25">
        <f>K115*('Parámetros'!$B$26*(1+'Parámetros'!$B$27)^((112-1)/12))</f>
        <v/>
      </c>
      <c r="N115" s="25">
        <f>N114+M115</f>
        <v/>
      </c>
      <c r="O115" s="25">
        <f>IF(112&lt;='Parámetros'!$B$19,0,G115*'Parámetros'!$B$17/12)</f>
        <v/>
      </c>
      <c r="P115" s="26">
        <f>D115+M115-O115</f>
        <v/>
      </c>
      <c r="Q115" s="26">
        <f>Q114+P115</f>
        <v/>
      </c>
    </row>
    <row r="116">
      <c r="A116" s="19" t="n">
        <v>113</v>
      </c>
      <c r="B116" s="19">
        <f>INT((113-1)/12)+1</f>
        <v/>
      </c>
      <c r="C116" s="20">
        <f>REDONDEAR(C115*(1-'Parámetros'!$B$7)^(1/12),0)</f>
        <v/>
      </c>
      <c r="D116" s="21">
        <f>C116*'Parámetros'!$B$6</f>
        <v/>
      </c>
      <c r="E116" s="21">
        <f>E115+D116</f>
        <v/>
      </c>
      <c r="F116" s="21">
        <f>MAX(0, MIN('Parámetros'!$B$15-G115, D116*'Parámetros'!$B$16))</f>
        <v/>
      </c>
      <c r="G116" s="21">
        <f>G115+F116</f>
        <v/>
      </c>
      <c r="H116" s="21">
        <f>H115+IF(J116&gt;J115,(J116-J115)*('Parámetros'!$B$12*'Parámetros'!$B$23*'Parámetros'!$B$21*'Parámetros'!$B$22*'Parámetros'!$B$24),0)</f>
        <v/>
      </c>
      <c r="I116" s="22">
        <f>E116+G116+H116</f>
        <v/>
      </c>
      <c r="J116" s="19">
        <f>ENTERO(I116/('Parámetros'!$B$10*(1+'Parámetros'!$B$13)^((113-1)/12)))</f>
        <v/>
      </c>
      <c r="K116" s="19">
        <f>J116*'Parámetros'!$B$12</f>
        <v/>
      </c>
      <c r="L116" s="19">
        <f>MAX(0,C116-K116)</f>
        <v/>
      </c>
      <c r="M116" s="21">
        <f>K116*('Parámetros'!$B$26*(1+'Parámetros'!$B$27)^((113-1)/12))</f>
        <v/>
      </c>
      <c r="N116" s="21">
        <f>N115+M116</f>
        <v/>
      </c>
      <c r="O116" s="21">
        <f>IF(113&lt;='Parámetros'!$B$19,0,G116*'Parámetros'!$B$17/12)</f>
        <v/>
      </c>
      <c r="P116" s="22">
        <f>D116+M116-O116</f>
        <v/>
      </c>
      <c r="Q116" s="22">
        <f>Q115+P116</f>
        <v/>
      </c>
    </row>
    <row r="117">
      <c r="A117" s="23" t="n">
        <v>114</v>
      </c>
      <c r="B117" s="23">
        <f>INT((114-1)/12)+1</f>
        <v/>
      </c>
      <c r="C117" s="24">
        <f>REDONDEAR(C116*(1-'Parámetros'!$B$7)^(1/12),0)</f>
        <v/>
      </c>
      <c r="D117" s="25">
        <f>C117*'Parámetros'!$B$6</f>
        <v/>
      </c>
      <c r="E117" s="25">
        <f>E116+D117</f>
        <v/>
      </c>
      <c r="F117" s="25">
        <f>MAX(0, MIN('Parámetros'!$B$15-G116, D117*'Parámetros'!$B$16))</f>
        <v/>
      </c>
      <c r="G117" s="25">
        <f>G116+F117</f>
        <v/>
      </c>
      <c r="H117" s="25">
        <f>H116+IF(J117&gt;J116,(J117-J116)*('Parámetros'!$B$12*'Parámetros'!$B$23*'Parámetros'!$B$21*'Parámetros'!$B$22*'Parámetros'!$B$24),0)</f>
        <v/>
      </c>
      <c r="I117" s="26">
        <f>E117+G117+H117</f>
        <v/>
      </c>
      <c r="J117" s="23">
        <f>ENTERO(I117/('Parámetros'!$B$10*(1+'Parámetros'!$B$13)^((114-1)/12)))</f>
        <v/>
      </c>
      <c r="K117" s="23">
        <f>J117*'Parámetros'!$B$12</f>
        <v/>
      </c>
      <c r="L117" s="23">
        <f>MAX(0,C117-K117)</f>
        <v/>
      </c>
      <c r="M117" s="25">
        <f>K117*('Parámetros'!$B$26*(1+'Parámetros'!$B$27)^((114-1)/12))</f>
        <v/>
      </c>
      <c r="N117" s="25">
        <f>N116+M117</f>
        <v/>
      </c>
      <c r="O117" s="25">
        <f>IF(114&lt;='Parámetros'!$B$19,0,G117*'Parámetros'!$B$17/12)</f>
        <v/>
      </c>
      <c r="P117" s="26">
        <f>D117+M117-O117</f>
        <v/>
      </c>
      <c r="Q117" s="26">
        <f>Q116+P117</f>
        <v/>
      </c>
    </row>
    <row r="118">
      <c r="A118" s="19" t="n">
        <v>115</v>
      </c>
      <c r="B118" s="19">
        <f>INT((115-1)/12)+1</f>
        <v/>
      </c>
      <c r="C118" s="20">
        <f>REDONDEAR(C117*(1-'Parámetros'!$B$7)^(1/12),0)</f>
        <v/>
      </c>
      <c r="D118" s="21">
        <f>C118*'Parámetros'!$B$6</f>
        <v/>
      </c>
      <c r="E118" s="21">
        <f>E117+D118</f>
        <v/>
      </c>
      <c r="F118" s="21">
        <f>MAX(0, MIN('Parámetros'!$B$15-G117, D118*'Parámetros'!$B$16))</f>
        <v/>
      </c>
      <c r="G118" s="21">
        <f>G117+F118</f>
        <v/>
      </c>
      <c r="H118" s="21">
        <f>H117+IF(J118&gt;J117,(J118-J117)*('Parámetros'!$B$12*'Parámetros'!$B$23*'Parámetros'!$B$21*'Parámetros'!$B$22*'Parámetros'!$B$24),0)</f>
        <v/>
      </c>
      <c r="I118" s="22">
        <f>E118+G118+H118</f>
        <v/>
      </c>
      <c r="J118" s="19">
        <f>ENTERO(I118/('Parámetros'!$B$10*(1+'Parámetros'!$B$13)^((115-1)/12)))</f>
        <v/>
      </c>
      <c r="K118" s="19">
        <f>J118*'Parámetros'!$B$12</f>
        <v/>
      </c>
      <c r="L118" s="19">
        <f>MAX(0,C118-K118)</f>
        <v/>
      </c>
      <c r="M118" s="21">
        <f>K118*('Parámetros'!$B$26*(1+'Parámetros'!$B$27)^((115-1)/12))</f>
        <v/>
      </c>
      <c r="N118" s="21">
        <f>N117+M118</f>
        <v/>
      </c>
      <c r="O118" s="21">
        <f>IF(115&lt;='Parámetros'!$B$19,0,G118*'Parámetros'!$B$17/12)</f>
        <v/>
      </c>
      <c r="P118" s="22">
        <f>D118+M118-O118</f>
        <v/>
      </c>
      <c r="Q118" s="22">
        <f>Q117+P118</f>
        <v/>
      </c>
    </row>
    <row r="119">
      <c r="A119" s="23" t="n">
        <v>116</v>
      </c>
      <c r="B119" s="23">
        <f>INT((116-1)/12)+1</f>
        <v/>
      </c>
      <c r="C119" s="24">
        <f>REDONDEAR(C118*(1-'Parámetros'!$B$7)^(1/12),0)</f>
        <v/>
      </c>
      <c r="D119" s="25">
        <f>C119*'Parámetros'!$B$6</f>
        <v/>
      </c>
      <c r="E119" s="25">
        <f>E118+D119</f>
        <v/>
      </c>
      <c r="F119" s="25">
        <f>MAX(0, MIN('Parámetros'!$B$15-G118, D119*'Parámetros'!$B$16))</f>
        <v/>
      </c>
      <c r="G119" s="25">
        <f>G118+F119</f>
        <v/>
      </c>
      <c r="H119" s="25">
        <f>H118+IF(J119&gt;J118,(J119-J118)*('Parámetros'!$B$12*'Parámetros'!$B$23*'Parámetros'!$B$21*'Parámetros'!$B$22*'Parámetros'!$B$24),0)</f>
        <v/>
      </c>
      <c r="I119" s="26">
        <f>E119+G119+H119</f>
        <v/>
      </c>
      <c r="J119" s="23">
        <f>ENTERO(I119/('Parámetros'!$B$10*(1+'Parámetros'!$B$13)^((116-1)/12)))</f>
        <v/>
      </c>
      <c r="K119" s="23">
        <f>J119*'Parámetros'!$B$12</f>
        <v/>
      </c>
      <c r="L119" s="23">
        <f>MAX(0,C119-K119)</f>
        <v/>
      </c>
      <c r="M119" s="25">
        <f>K119*('Parámetros'!$B$26*(1+'Parámetros'!$B$27)^((116-1)/12))</f>
        <v/>
      </c>
      <c r="N119" s="25">
        <f>N118+M119</f>
        <v/>
      </c>
      <c r="O119" s="25">
        <f>IF(116&lt;='Parámetros'!$B$19,0,G119*'Parámetros'!$B$17/12)</f>
        <v/>
      </c>
      <c r="P119" s="26">
        <f>D119+M119-O119</f>
        <v/>
      </c>
      <c r="Q119" s="26">
        <f>Q118+P119</f>
        <v/>
      </c>
    </row>
    <row r="120">
      <c r="A120" s="19" t="n">
        <v>117</v>
      </c>
      <c r="B120" s="19">
        <f>INT((117-1)/12)+1</f>
        <v/>
      </c>
      <c r="C120" s="20">
        <f>REDONDEAR(C119*(1-'Parámetros'!$B$7)^(1/12),0)</f>
        <v/>
      </c>
      <c r="D120" s="21">
        <f>C120*'Parámetros'!$B$6</f>
        <v/>
      </c>
      <c r="E120" s="21">
        <f>E119+D120</f>
        <v/>
      </c>
      <c r="F120" s="21">
        <f>MAX(0, MIN('Parámetros'!$B$15-G119, D120*'Parámetros'!$B$16))</f>
        <v/>
      </c>
      <c r="G120" s="21">
        <f>G119+F120</f>
        <v/>
      </c>
      <c r="H120" s="21">
        <f>H119+IF(J120&gt;J119,(J120-J119)*('Parámetros'!$B$12*'Parámetros'!$B$23*'Parámetros'!$B$21*'Parámetros'!$B$22*'Parámetros'!$B$24),0)</f>
        <v/>
      </c>
      <c r="I120" s="22">
        <f>E120+G120+H120</f>
        <v/>
      </c>
      <c r="J120" s="19">
        <f>ENTERO(I120/('Parámetros'!$B$10*(1+'Parámetros'!$B$13)^((117-1)/12)))</f>
        <v/>
      </c>
      <c r="K120" s="19">
        <f>J120*'Parámetros'!$B$12</f>
        <v/>
      </c>
      <c r="L120" s="19">
        <f>MAX(0,C120-K120)</f>
        <v/>
      </c>
      <c r="M120" s="21">
        <f>K120*('Parámetros'!$B$26*(1+'Parámetros'!$B$27)^((117-1)/12))</f>
        <v/>
      </c>
      <c r="N120" s="21">
        <f>N119+M120</f>
        <v/>
      </c>
      <c r="O120" s="21">
        <f>IF(117&lt;='Parámetros'!$B$19,0,G120*'Parámetros'!$B$17/12)</f>
        <v/>
      </c>
      <c r="P120" s="22">
        <f>D120+M120-O120</f>
        <v/>
      </c>
      <c r="Q120" s="22">
        <f>Q119+P120</f>
        <v/>
      </c>
    </row>
    <row r="121">
      <c r="A121" s="23" t="n">
        <v>118</v>
      </c>
      <c r="B121" s="23">
        <f>INT((118-1)/12)+1</f>
        <v/>
      </c>
      <c r="C121" s="24">
        <f>REDONDEAR(C120*(1-'Parámetros'!$B$7)^(1/12),0)</f>
        <v/>
      </c>
      <c r="D121" s="25">
        <f>C121*'Parámetros'!$B$6</f>
        <v/>
      </c>
      <c r="E121" s="25">
        <f>E120+D121</f>
        <v/>
      </c>
      <c r="F121" s="25">
        <f>MAX(0, MIN('Parámetros'!$B$15-G120, D121*'Parámetros'!$B$16))</f>
        <v/>
      </c>
      <c r="G121" s="25">
        <f>G120+F121</f>
        <v/>
      </c>
      <c r="H121" s="25">
        <f>H120+IF(J121&gt;J120,(J121-J120)*('Parámetros'!$B$12*'Parámetros'!$B$23*'Parámetros'!$B$21*'Parámetros'!$B$22*'Parámetros'!$B$24),0)</f>
        <v/>
      </c>
      <c r="I121" s="26">
        <f>E121+G121+H121</f>
        <v/>
      </c>
      <c r="J121" s="23">
        <f>ENTERO(I121/('Parámetros'!$B$10*(1+'Parámetros'!$B$13)^((118-1)/12)))</f>
        <v/>
      </c>
      <c r="K121" s="23">
        <f>J121*'Parámetros'!$B$12</f>
        <v/>
      </c>
      <c r="L121" s="23">
        <f>MAX(0,C121-K121)</f>
        <v/>
      </c>
      <c r="M121" s="25">
        <f>K121*('Parámetros'!$B$26*(1+'Parámetros'!$B$27)^((118-1)/12))</f>
        <v/>
      </c>
      <c r="N121" s="25">
        <f>N120+M121</f>
        <v/>
      </c>
      <c r="O121" s="25">
        <f>IF(118&lt;='Parámetros'!$B$19,0,G121*'Parámetros'!$B$17/12)</f>
        <v/>
      </c>
      <c r="P121" s="26">
        <f>D121+M121-O121</f>
        <v/>
      </c>
      <c r="Q121" s="26">
        <f>Q120+P121</f>
        <v/>
      </c>
    </row>
    <row r="122">
      <c r="A122" s="19" t="n">
        <v>119</v>
      </c>
      <c r="B122" s="19">
        <f>INT((119-1)/12)+1</f>
        <v/>
      </c>
      <c r="C122" s="20">
        <f>REDONDEAR(C121*(1-'Parámetros'!$B$7)^(1/12),0)</f>
        <v/>
      </c>
      <c r="D122" s="21">
        <f>C122*'Parámetros'!$B$6</f>
        <v/>
      </c>
      <c r="E122" s="21">
        <f>E121+D122</f>
        <v/>
      </c>
      <c r="F122" s="21">
        <f>MAX(0, MIN('Parámetros'!$B$15-G121, D122*'Parámetros'!$B$16))</f>
        <v/>
      </c>
      <c r="G122" s="21">
        <f>G121+F122</f>
        <v/>
      </c>
      <c r="H122" s="21">
        <f>H121+IF(J122&gt;J121,(J122-J121)*('Parámetros'!$B$12*'Parámetros'!$B$23*'Parámetros'!$B$21*'Parámetros'!$B$22*'Parámetros'!$B$24),0)</f>
        <v/>
      </c>
      <c r="I122" s="22">
        <f>E122+G122+H122</f>
        <v/>
      </c>
      <c r="J122" s="19">
        <f>ENTERO(I122/('Parámetros'!$B$10*(1+'Parámetros'!$B$13)^((119-1)/12)))</f>
        <v/>
      </c>
      <c r="K122" s="19">
        <f>J122*'Parámetros'!$B$12</f>
        <v/>
      </c>
      <c r="L122" s="19">
        <f>MAX(0,C122-K122)</f>
        <v/>
      </c>
      <c r="M122" s="21">
        <f>K122*('Parámetros'!$B$26*(1+'Parámetros'!$B$27)^((119-1)/12))</f>
        <v/>
      </c>
      <c r="N122" s="21">
        <f>N121+M122</f>
        <v/>
      </c>
      <c r="O122" s="21">
        <f>IF(119&lt;='Parámetros'!$B$19,0,G122*'Parámetros'!$B$17/12)</f>
        <v/>
      </c>
      <c r="P122" s="22">
        <f>D122+M122-O122</f>
        <v/>
      </c>
      <c r="Q122" s="22">
        <f>Q121+P122</f>
        <v/>
      </c>
    </row>
    <row r="123">
      <c r="A123" s="23" t="n">
        <v>120</v>
      </c>
      <c r="B123" s="23">
        <f>INT((120-1)/12)+1</f>
        <v/>
      </c>
      <c r="C123" s="24">
        <f>REDONDEAR(C122*(1-'Parámetros'!$B$7)^(1/12),0)</f>
        <v/>
      </c>
      <c r="D123" s="25">
        <f>C123*'Parámetros'!$B$6</f>
        <v/>
      </c>
      <c r="E123" s="25">
        <f>E122+D123</f>
        <v/>
      </c>
      <c r="F123" s="25">
        <f>MAX(0, MIN('Parámetros'!$B$15-G122, D123*'Parámetros'!$B$16))</f>
        <v/>
      </c>
      <c r="G123" s="25">
        <f>G122+F123</f>
        <v/>
      </c>
      <c r="H123" s="25">
        <f>H122+IF(J123&gt;J122,(J123-J122)*('Parámetros'!$B$12*'Parámetros'!$B$23*'Parámetros'!$B$21*'Parámetros'!$B$22*'Parámetros'!$B$24),0)</f>
        <v/>
      </c>
      <c r="I123" s="26">
        <f>E123+G123+H123</f>
        <v/>
      </c>
      <c r="J123" s="23">
        <f>ENTERO(I123/('Parámetros'!$B$10*(1+'Parámetros'!$B$13)^((120-1)/12)))</f>
        <v/>
      </c>
      <c r="K123" s="23">
        <f>J123*'Parámetros'!$B$12</f>
        <v/>
      </c>
      <c r="L123" s="23">
        <f>MAX(0,C123-K123)</f>
        <v/>
      </c>
      <c r="M123" s="25">
        <f>K123*('Parámetros'!$B$26*(1+'Parámetros'!$B$27)^((120-1)/12))</f>
        <v/>
      </c>
      <c r="N123" s="25">
        <f>N122+M123</f>
        <v/>
      </c>
      <c r="O123" s="25">
        <f>IF(120&lt;='Parámetros'!$B$19,0,G123*'Parámetros'!$B$17/12)</f>
        <v/>
      </c>
      <c r="P123" s="26">
        <f>D123+M123-O123</f>
        <v/>
      </c>
      <c r="Q123" s="26">
        <f>Q122+P123</f>
        <v/>
      </c>
    </row>
    <row r="124">
      <c r="A124" s="19" t="n">
        <v>121</v>
      </c>
      <c r="B124" s="19">
        <f>INT((121-1)/12)+1</f>
        <v/>
      </c>
      <c r="C124" s="20">
        <f>REDONDEAR(C123*(1-'Parámetros'!$B$7)^(1/12),0)</f>
        <v/>
      </c>
      <c r="D124" s="21">
        <f>C124*'Parámetros'!$B$6</f>
        <v/>
      </c>
      <c r="E124" s="21">
        <f>E123+D124</f>
        <v/>
      </c>
      <c r="F124" s="21">
        <f>MAX(0, MIN('Parámetros'!$B$15-G123, D124*'Parámetros'!$B$16))</f>
        <v/>
      </c>
      <c r="G124" s="21">
        <f>G123+F124</f>
        <v/>
      </c>
      <c r="H124" s="21">
        <f>H123+IF(J124&gt;J123,(J124-J123)*('Parámetros'!$B$12*'Parámetros'!$B$23*'Parámetros'!$B$21*'Parámetros'!$B$22*'Parámetros'!$B$24),0)</f>
        <v/>
      </c>
      <c r="I124" s="22">
        <f>E124+G124+H124</f>
        <v/>
      </c>
      <c r="J124" s="19">
        <f>ENTERO(I124/('Parámetros'!$B$10*(1+'Parámetros'!$B$13)^((121-1)/12)))</f>
        <v/>
      </c>
      <c r="K124" s="19">
        <f>J124*'Parámetros'!$B$12</f>
        <v/>
      </c>
      <c r="L124" s="19">
        <f>MAX(0,C124-K124)</f>
        <v/>
      </c>
      <c r="M124" s="21">
        <f>K124*('Parámetros'!$B$26*(1+'Parámetros'!$B$27)^((121-1)/12))</f>
        <v/>
      </c>
      <c r="N124" s="21">
        <f>N123+M124</f>
        <v/>
      </c>
      <c r="O124" s="21">
        <f>IF(121&lt;='Parámetros'!$B$19,0,G124*'Parámetros'!$B$17/12)</f>
        <v/>
      </c>
      <c r="P124" s="22">
        <f>D124+M124-O124</f>
        <v/>
      </c>
      <c r="Q124" s="22">
        <f>Q123+P124</f>
        <v/>
      </c>
    </row>
    <row r="125">
      <c r="A125" s="23" t="n">
        <v>122</v>
      </c>
      <c r="B125" s="23">
        <f>INT((122-1)/12)+1</f>
        <v/>
      </c>
      <c r="C125" s="24">
        <f>REDONDEAR(C124*(1-'Parámetros'!$B$7)^(1/12),0)</f>
        <v/>
      </c>
      <c r="D125" s="25">
        <f>C125*'Parámetros'!$B$6</f>
        <v/>
      </c>
      <c r="E125" s="25">
        <f>E124+D125</f>
        <v/>
      </c>
      <c r="F125" s="25">
        <f>MAX(0, MIN('Parámetros'!$B$15-G124, D125*'Parámetros'!$B$16))</f>
        <v/>
      </c>
      <c r="G125" s="25">
        <f>G124+F125</f>
        <v/>
      </c>
      <c r="H125" s="25">
        <f>H124+IF(J125&gt;J124,(J125-J124)*('Parámetros'!$B$12*'Parámetros'!$B$23*'Parámetros'!$B$21*'Parámetros'!$B$22*'Parámetros'!$B$24),0)</f>
        <v/>
      </c>
      <c r="I125" s="26">
        <f>E125+G125+H125</f>
        <v/>
      </c>
      <c r="J125" s="23">
        <f>ENTERO(I125/('Parámetros'!$B$10*(1+'Parámetros'!$B$13)^((122-1)/12)))</f>
        <v/>
      </c>
      <c r="K125" s="23">
        <f>J125*'Parámetros'!$B$12</f>
        <v/>
      </c>
      <c r="L125" s="23">
        <f>MAX(0,C125-K125)</f>
        <v/>
      </c>
      <c r="M125" s="25">
        <f>K125*('Parámetros'!$B$26*(1+'Parámetros'!$B$27)^((122-1)/12))</f>
        <v/>
      </c>
      <c r="N125" s="25">
        <f>N124+M125</f>
        <v/>
      </c>
      <c r="O125" s="25">
        <f>IF(122&lt;='Parámetros'!$B$19,0,G125*'Parámetros'!$B$17/12)</f>
        <v/>
      </c>
      <c r="P125" s="26">
        <f>D125+M125-O125</f>
        <v/>
      </c>
      <c r="Q125" s="26">
        <f>Q124+P125</f>
        <v/>
      </c>
    </row>
    <row r="126">
      <c r="A126" s="19" t="n">
        <v>123</v>
      </c>
      <c r="B126" s="19">
        <f>INT((123-1)/12)+1</f>
        <v/>
      </c>
      <c r="C126" s="20">
        <f>REDONDEAR(C125*(1-'Parámetros'!$B$7)^(1/12),0)</f>
        <v/>
      </c>
      <c r="D126" s="21">
        <f>C126*'Parámetros'!$B$6</f>
        <v/>
      </c>
      <c r="E126" s="21">
        <f>E125+D126</f>
        <v/>
      </c>
      <c r="F126" s="21">
        <f>MAX(0, MIN('Parámetros'!$B$15-G125, D126*'Parámetros'!$B$16))</f>
        <v/>
      </c>
      <c r="G126" s="21">
        <f>G125+F126</f>
        <v/>
      </c>
      <c r="H126" s="21">
        <f>H125+IF(J126&gt;J125,(J126-J125)*('Parámetros'!$B$12*'Parámetros'!$B$23*'Parámetros'!$B$21*'Parámetros'!$B$22*'Parámetros'!$B$24),0)</f>
        <v/>
      </c>
      <c r="I126" s="22">
        <f>E126+G126+H126</f>
        <v/>
      </c>
      <c r="J126" s="19">
        <f>ENTERO(I126/('Parámetros'!$B$10*(1+'Parámetros'!$B$13)^((123-1)/12)))</f>
        <v/>
      </c>
      <c r="K126" s="19">
        <f>J126*'Parámetros'!$B$12</f>
        <v/>
      </c>
      <c r="L126" s="19">
        <f>MAX(0,C126-K126)</f>
        <v/>
      </c>
      <c r="M126" s="21">
        <f>K126*('Parámetros'!$B$26*(1+'Parámetros'!$B$27)^((123-1)/12))</f>
        <v/>
      </c>
      <c r="N126" s="21">
        <f>N125+M126</f>
        <v/>
      </c>
      <c r="O126" s="21">
        <f>IF(123&lt;='Parámetros'!$B$19,0,G126*'Parámetros'!$B$17/12)</f>
        <v/>
      </c>
      <c r="P126" s="22">
        <f>D126+M126-O126</f>
        <v/>
      </c>
      <c r="Q126" s="22">
        <f>Q125+P126</f>
        <v/>
      </c>
    </row>
    <row r="127">
      <c r="A127" s="23" t="n">
        <v>124</v>
      </c>
      <c r="B127" s="23">
        <f>INT((124-1)/12)+1</f>
        <v/>
      </c>
      <c r="C127" s="24">
        <f>REDONDEAR(C126*(1-'Parámetros'!$B$7)^(1/12),0)</f>
        <v/>
      </c>
      <c r="D127" s="25">
        <f>C127*'Parámetros'!$B$6</f>
        <v/>
      </c>
      <c r="E127" s="25">
        <f>E126+D127</f>
        <v/>
      </c>
      <c r="F127" s="25">
        <f>MAX(0, MIN('Parámetros'!$B$15-G126, D127*'Parámetros'!$B$16))</f>
        <v/>
      </c>
      <c r="G127" s="25">
        <f>G126+F127</f>
        <v/>
      </c>
      <c r="H127" s="25">
        <f>H126+IF(J127&gt;J126,(J127-J126)*('Parámetros'!$B$12*'Parámetros'!$B$23*'Parámetros'!$B$21*'Parámetros'!$B$22*'Parámetros'!$B$24),0)</f>
        <v/>
      </c>
      <c r="I127" s="26">
        <f>E127+G127+H127</f>
        <v/>
      </c>
      <c r="J127" s="23">
        <f>ENTERO(I127/('Parámetros'!$B$10*(1+'Parámetros'!$B$13)^((124-1)/12)))</f>
        <v/>
      </c>
      <c r="K127" s="23">
        <f>J127*'Parámetros'!$B$12</f>
        <v/>
      </c>
      <c r="L127" s="23">
        <f>MAX(0,C127-K127)</f>
        <v/>
      </c>
      <c r="M127" s="25">
        <f>K127*('Parámetros'!$B$26*(1+'Parámetros'!$B$27)^((124-1)/12))</f>
        <v/>
      </c>
      <c r="N127" s="25">
        <f>N126+M127</f>
        <v/>
      </c>
      <c r="O127" s="25">
        <f>IF(124&lt;='Parámetros'!$B$19,0,G127*'Parámetros'!$B$17/12)</f>
        <v/>
      </c>
      <c r="P127" s="26">
        <f>D127+M127-O127</f>
        <v/>
      </c>
      <c r="Q127" s="26">
        <f>Q126+P127</f>
        <v/>
      </c>
    </row>
    <row r="128">
      <c r="A128" s="19" t="n">
        <v>125</v>
      </c>
      <c r="B128" s="19">
        <f>INT((125-1)/12)+1</f>
        <v/>
      </c>
      <c r="C128" s="20">
        <f>REDONDEAR(C127*(1-'Parámetros'!$B$7)^(1/12),0)</f>
        <v/>
      </c>
      <c r="D128" s="21">
        <f>C128*'Parámetros'!$B$6</f>
        <v/>
      </c>
      <c r="E128" s="21">
        <f>E127+D128</f>
        <v/>
      </c>
      <c r="F128" s="21">
        <f>MAX(0, MIN('Parámetros'!$B$15-G127, D128*'Parámetros'!$B$16))</f>
        <v/>
      </c>
      <c r="G128" s="21">
        <f>G127+F128</f>
        <v/>
      </c>
      <c r="H128" s="21">
        <f>H127+IF(J128&gt;J127,(J128-J127)*('Parámetros'!$B$12*'Parámetros'!$B$23*'Parámetros'!$B$21*'Parámetros'!$B$22*'Parámetros'!$B$24),0)</f>
        <v/>
      </c>
      <c r="I128" s="22">
        <f>E128+G128+H128</f>
        <v/>
      </c>
      <c r="J128" s="19">
        <f>ENTERO(I128/('Parámetros'!$B$10*(1+'Parámetros'!$B$13)^((125-1)/12)))</f>
        <v/>
      </c>
      <c r="K128" s="19">
        <f>J128*'Parámetros'!$B$12</f>
        <v/>
      </c>
      <c r="L128" s="19">
        <f>MAX(0,C128-K128)</f>
        <v/>
      </c>
      <c r="M128" s="21">
        <f>K128*('Parámetros'!$B$26*(1+'Parámetros'!$B$27)^((125-1)/12))</f>
        <v/>
      </c>
      <c r="N128" s="21">
        <f>N127+M128</f>
        <v/>
      </c>
      <c r="O128" s="21">
        <f>IF(125&lt;='Parámetros'!$B$19,0,G128*'Parámetros'!$B$17/12)</f>
        <v/>
      </c>
      <c r="P128" s="22">
        <f>D128+M128-O128</f>
        <v/>
      </c>
      <c r="Q128" s="22">
        <f>Q127+P128</f>
        <v/>
      </c>
    </row>
    <row r="129">
      <c r="A129" s="23" t="n">
        <v>126</v>
      </c>
      <c r="B129" s="23">
        <f>INT((126-1)/12)+1</f>
        <v/>
      </c>
      <c r="C129" s="24">
        <f>REDONDEAR(C128*(1-'Parámetros'!$B$7)^(1/12),0)</f>
        <v/>
      </c>
      <c r="D129" s="25">
        <f>C129*'Parámetros'!$B$6</f>
        <v/>
      </c>
      <c r="E129" s="25">
        <f>E128+D129</f>
        <v/>
      </c>
      <c r="F129" s="25">
        <f>MAX(0, MIN('Parámetros'!$B$15-G128, D129*'Parámetros'!$B$16))</f>
        <v/>
      </c>
      <c r="G129" s="25">
        <f>G128+F129</f>
        <v/>
      </c>
      <c r="H129" s="25">
        <f>H128+IF(J129&gt;J128,(J129-J128)*('Parámetros'!$B$12*'Parámetros'!$B$23*'Parámetros'!$B$21*'Parámetros'!$B$22*'Parámetros'!$B$24),0)</f>
        <v/>
      </c>
      <c r="I129" s="26">
        <f>E129+G129+H129</f>
        <v/>
      </c>
      <c r="J129" s="23">
        <f>ENTERO(I129/('Parámetros'!$B$10*(1+'Parámetros'!$B$13)^((126-1)/12)))</f>
        <v/>
      </c>
      <c r="K129" s="23">
        <f>J129*'Parámetros'!$B$12</f>
        <v/>
      </c>
      <c r="L129" s="23">
        <f>MAX(0,C129-K129)</f>
        <v/>
      </c>
      <c r="M129" s="25">
        <f>K129*('Parámetros'!$B$26*(1+'Parámetros'!$B$27)^((126-1)/12))</f>
        <v/>
      </c>
      <c r="N129" s="25">
        <f>N128+M129</f>
        <v/>
      </c>
      <c r="O129" s="25">
        <f>IF(126&lt;='Parámetros'!$B$19,0,G129*'Parámetros'!$B$17/12)</f>
        <v/>
      </c>
      <c r="P129" s="26">
        <f>D129+M129-O129</f>
        <v/>
      </c>
      <c r="Q129" s="26">
        <f>Q128+P129</f>
        <v/>
      </c>
    </row>
    <row r="130">
      <c r="A130" s="19" t="n">
        <v>127</v>
      </c>
      <c r="B130" s="19">
        <f>INT((127-1)/12)+1</f>
        <v/>
      </c>
      <c r="C130" s="20">
        <f>REDONDEAR(C129*(1-'Parámetros'!$B$7)^(1/12),0)</f>
        <v/>
      </c>
      <c r="D130" s="21">
        <f>C130*'Parámetros'!$B$6</f>
        <v/>
      </c>
      <c r="E130" s="21">
        <f>E129+D130</f>
        <v/>
      </c>
      <c r="F130" s="21">
        <f>MAX(0, MIN('Parámetros'!$B$15-G129, D130*'Parámetros'!$B$16))</f>
        <v/>
      </c>
      <c r="G130" s="21">
        <f>G129+F130</f>
        <v/>
      </c>
      <c r="H130" s="21">
        <f>H129+IF(J130&gt;J129,(J130-J129)*('Parámetros'!$B$12*'Parámetros'!$B$23*'Parámetros'!$B$21*'Parámetros'!$B$22*'Parámetros'!$B$24),0)</f>
        <v/>
      </c>
      <c r="I130" s="22">
        <f>E130+G130+H130</f>
        <v/>
      </c>
      <c r="J130" s="19">
        <f>ENTERO(I130/('Parámetros'!$B$10*(1+'Parámetros'!$B$13)^((127-1)/12)))</f>
        <v/>
      </c>
      <c r="K130" s="19">
        <f>J130*'Parámetros'!$B$12</f>
        <v/>
      </c>
      <c r="L130" s="19">
        <f>MAX(0,C130-K130)</f>
        <v/>
      </c>
      <c r="M130" s="21">
        <f>K130*('Parámetros'!$B$26*(1+'Parámetros'!$B$27)^((127-1)/12))</f>
        <v/>
      </c>
      <c r="N130" s="21">
        <f>N129+M130</f>
        <v/>
      </c>
      <c r="O130" s="21">
        <f>IF(127&lt;='Parámetros'!$B$19,0,G130*'Parámetros'!$B$17/12)</f>
        <v/>
      </c>
      <c r="P130" s="22">
        <f>D130+M130-O130</f>
        <v/>
      </c>
      <c r="Q130" s="22">
        <f>Q129+P130</f>
        <v/>
      </c>
    </row>
    <row r="131">
      <c r="A131" s="23" t="n">
        <v>128</v>
      </c>
      <c r="B131" s="23">
        <f>INT((128-1)/12)+1</f>
        <v/>
      </c>
      <c r="C131" s="24">
        <f>REDONDEAR(C130*(1-'Parámetros'!$B$7)^(1/12),0)</f>
        <v/>
      </c>
      <c r="D131" s="25">
        <f>C131*'Parámetros'!$B$6</f>
        <v/>
      </c>
      <c r="E131" s="25">
        <f>E130+D131</f>
        <v/>
      </c>
      <c r="F131" s="25">
        <f>MAX(0, MIN('Parámetros'!$B$15-G130, D131*'Parámetros'!$B$16))</f>
        <v/>
      </c>
      <c r="G131" s="25">
        <f>G130+F131</f>
        <v/>
      </c>
      <c r="H131" s="25">
        <f>H130+IF(J131&gt;J130,(J131-J130)*('Parámetros'!$B$12*'Parámetros'!$B$23*'Parámetros'!$B$21*'Parámetros'!$B$22*'Parámetros'!$B$24),0)</f>
        <v/>
      </c>
      <c r="I131" s="26">
        <f>E131+G131+H131</f>
        <v/>
      </c>
      <c r="J131" s="23">
        <f>ENTERO(I131/('Parámetros'!$B$10*(1+'Parámetros'!$B$13)^((128-1)/12)))</f>
        <v/>
      </c>
      <c r="K131" s="23">
        <f>J131*'Parámetros'!$B$12</f>
        <v/>
      </c>
      <c r="L131" s="23">
        <f>MAX(0,C131-K131)</f>
        <v/>
      </c>
      <c r="M131" s="25">
        <f>K131*('Parámetros'!$B$26*(1+'Parámetros'!$B$27)^((128-1)/12))</f>
        <v/>
      </c>
      <c r="N131" s="25">
        <f>N130+M131</f>
        <v/>
      </c>
      <c r="O131" s="25">
        <f>IF(128&lt;='Parámetros'!$B$19,0,G131*'Parámetros'!$B$17/12)</f>
        <v/>
      </c>
      <c r="P131" s="26">
        <f>D131+M131-O131</f>
        <v/>
      </c>
      <c r="Q131" s="26">
        <f>Q130+P131</f>
        <v/>
      </c>
    </row>
    <row r="132">
      <c r="A132" s="19" t="n">
        <v>129</v>
      </c>
      <c r="B132" s="19">
        <f>INT((129-1)/12)+1</f>
        <v/>
      </c>
      <c r="C132" s="20">
        <f>REDONDEAR(C131*(1-'Parámetros'!$B$7)^(1/12),0)</f>
        <v/>
      </c>
      <c r="D132" s="21">
        <f>C132*'Parámetros'!$B$6</f>
        <v/>
      </c>
      <c r="E132" s="21">
        <f>E131+D132</f>
        <v/>
      </c>
      <c r="F132" s="21">
        <f>MAX(0, MIN('Parámetros'!$B$15-G131, D132*'Parámetros'!$B$16))</f>
        <v/>
      </c>
      <c r="G132" s="21">
        <f>G131+F132</f>
        <v/>
      </c>
      <c r="H132" s="21">
        <f>H131+IF(J132&gt;J131,(J132-J131)*('Parámetros'!$B$12*'Parámetros'!$B$23*'Parámetros'!$B$21*'Parámetros'!$B$22*'Parámetros'!$B$24),0)</f>
        <v/>
      </c>
      <c r="I132" s="22">
        <f>E132+G132+H132</f>
        <v/>
      </c>
      <c r="J132" s="19">
        <f>ENTERO(I132/('Parámetros'!$B$10*(1+'Parámetros'!$B$13)^((129-1)/12)))</f>
        <v/>
      </c>
      <c r="K132" s="19">
        <f>J132*'Parámetros'!$B$12</f>
        <v/>
      </c>
      <c r="L132" s="19">
        <f>MAX(0,C132-K132)</f>
        <v/>
      </c>
      <c r="M132" s="21">
        <f>K132*('Parámetros'!$B$26*(1+'Parámetros'!$B$27)^((129-1)/12))</f>
        <v/>
      </c>
      <c r="N132" s="21">
        <f>N131+M132</f>
        <v/>
      </c>
      <c r="O132" s="21">
        <f>IF(129&lt;='Parámetros'!$B$19,0,G132*'Parámetros'!$B$17/12)</f>
        <v/>
      </c>
      <c r="P132" s="22">
        <f>D132+M132-O132</f>
        <v/>
      </c>
      <c r="Q132" s="22">
        <f>Q131+P132</f>
        <v/>
      </c>
    </row>
    <row r="133">
      <c r="A133" s="23" t="n">
        <v>130</v>
      </c>
      <c r="B133" s="23">
        <f>INT((130-1)/12)+1</f>
        <v/>
      </c>
      <c r="C133" s="24">
        <f>REDONDEAR(C132*(1-'Parámetros'!$B$7)^(1/12),0)</f>
        <v/>
      </c>
      <c r="D133" s="25">
        <f>C133*'Parámetros'!$B$6</f>
        <v/>
      </c>
      <c r="E133" s="25">
        <f>E132+D133</f>
        <v/>
      </c>
      <c r="F133" s="25">
        <f>MAX(0, MIN('Parámetros'!$B$15-G132, D133*'Parámetros'!$B$16))</f>
        <v/>
      </c>
      <c r="G133" s="25">
        <f>G132+F133</f>
        <v/>
      </c>
      <c r="H133" s="25">
        <f>H132+IF(J133&gt;J132,(J133-J132)*('Parámetros'!$B$12*'Parámetros'!$B$23*'Parámetros'!$B$21*'Parámetros'!$B$22*'Parámetros'!$B$24),0)</f>
        <v/>
      </c>
      <c r="I133" s="26">
        <f>E133+G133+H133</f>
        <v/>
      </c>
      <c r="J133" s="23">
        <f>ENTERO(I133/('Parámetros'!$B$10*(1+'Parámetros'!$B$13)^((130-1)/12)))</f>
        <v/>
      </c>
      <c r="K133" s="23">
        <f>J133*'Parámetros'!$B$12</f>
        <v/>
      </c>
      <c r="L133" s="23">
        <f>MAX(0,C133-K133)</f>
        <v/>
      </c>
      <c r="M133" s="25">
        <f>K133*('Parámetros'!$B$26*(1+'Parámetros'!$B$27)^((130-1)/12))</f>
        <v/>
      </c>
      <c r="N133" s="25">
        <f>N132+M133</f>
        <v/>
      </c>
      <c r="O133" s="25">
        <f>IF(130&lt;='Parámetros'!$B$19,0,G133*'Parámetros'!$B$17/12)</f>
        <v/>
      </c>
      <c r="P133" s="26">
        <f>D133+M133-O133</f>
        <v/>
      </c>
      <c r="Q133" s="26">
        <f>Q132+P133</f>
        <v/>
      </c>
    </row>
    <row r="134">
      <c r="A134" s="19" t="n">
        <v>131</v>
      </c>
      <c r="B134" s="19">
        <f>INT((131-1)/12)+1</f>
        <v/>
      </c>
      <c r="C134" s="20">
        <f>REDONDEAR(C133*(1-'Parámetros'!$B$7)^(1/12),0)</f>
        <v/>
      </c>
      <c r="D134" s="21">
        <f>C134*'Parámetros'!$B$6</f>
        <v/>
      </c>
      <c r="E134" s="21">
        <f>E133+D134</f>
        <v/>
      </c>
      <c r="F134" s="21">
        <f>MAX(0, MIN('Parámetros'!$B$15-G133, D134*'Parámetros'!$B$16))</f>
        <v/>
      </c>
      <c r="G134" s="21">
        <f>G133+F134</f>
        <v/>
      </c>
      <c r="H134" s="21">
        <f>H133+IF(J134&gt;J133,(J134-J133)*('Parámetros'!$B$12*'Parámetros'!$B$23*'Parámetros'!$B$21*'Parámetros'!$B$22*'Parámetros'!$B$24),0)</f>
        <v/>
      </c>
      <c r="I134" s="22">
        <f>E134+G134+H134</f>
        <v/>
      </c>
      <c r="J134" s="19">
        <f>ENTERO(I134/('Parámetros'!$B$10*(1+'Parámetros'!$B$13)^((131-1)/12)))</f>
        <v/>
      </c>
      <c r="K134" s="19">
        <f>J134*'Parámetros'!$B$12</f>
        <v/>
      </c>
      <c r="L134" s="19">
        <f>MAX(0,C134-K134)</f>
        <v/>
      </c>
      <c r="M134" s="21">
        <f>K134*('Parámetros'!$B$26*(1+'Parámetros'!$B$27)^((131-1)/12))</f>
        <v/>
      </c>
      <c r="N134" s="21">
        <f>N133+M134</f>
        <v/>
      </c>
      <c r="O134" s="21">
        <f>IF(131&lt;='Parámetros'!$B$19,0,G134*'Parámetros'!$B$17/12)</f>
        <v/>
      </c>
      <c r="P134" s="22">
        <f>D134+M134-O134</f>
        <v/>
      </c>
      <c r="Q134" s="22">
        <f>Q133+P134</f>
        <v/>
      </c>
    </row>
    <row r="135">
      <c r="A135" s="23" t="n">
        <v>132</v>
      </c>
      <c r="B135" s="23">
        <f>INT((132-1)/12)+1</f>
        <v/>
      </c>
      <c r="C135" s="24">
        <f>REDONDEAR(C134*(1-'Parámetros'!$B$7)^(1/12),0)</f>
        <v/>
      </c>
      <c r="D135" s="25">
        <f>C135*'Parámetros'!$B$6</f>
        <v/>
      </c>
      <c r="E135" s="25">
        <f>E134+D135</f>
        <v/>
      </c>
      <c r="F135" s="25">
        <f>MAX(0, MIN('Parámetros'!$B$15-G134, D135*'Parámetros'!$B$16))</f>
        <v/>
      </c>
      <c r="G135" s="25">
        <f>G134+F135</f>
        <v/>
      </c>
      <c r="H135" s="25">
        <f>H134+IF(J135&gt;J134,(J135-J134)*('Parámetros'!$B$12*'Parámetros'!$B$23*'Parámetros'!$B$21*'Parámetros'!$B$22*'Parámetros'!$B$24),0)</f>
        <v/>
      </c>
      <c r="I135" s="26">
        <f>E135+G135+H135</f>
        <v/>
      </c>
      <c r="J135" s="23">
        <f>ENTERO(I135/('Parámetros'!$B$10*(1+'Parámetros'!$B$13)^((132-1)/12)))</f>
        <v/>
      </c>
      <c r="K135" s="23">
        <f>J135*'Parámetros'!$B$12</f>
        <v/>
      </c>
      <c r="L135" s="23">
        <f>MAX(0,C135-K135)</f>
        <v/>
      </c>
      <c r="M135" s="25">
        <f>K135*('Parámetros'!$B$26*(1+'Parámetros'!$B$27)^((132-1)/12))</f>
        <v/>
      </c>
      <c r="N135" s="25">
        <f>N134+M135</f>
        <v/>
      </c>
      <c r="O135" s="25">
        <f>IF(132&lt;='Parámetros'!$B$19,0,G135*'Parámetros'!$B$17/12)</f>
        <v/>
      </c>
      <c r="P135" s="26">
        <f>D135+M135-O135</f>
        <v/>
      </c>
      <c r="Q135" s="26">
        <f>Q134+P135</f>
        <v/>
      </c>
    </row>
    <row r="136">
      <c r="A136" s="19" t="n">
        <v>133</v>
      </c>
      <c r="B136" s="19">
        <f>INT((133-1)/12)+1</f>
        <v/>
      </c>
      <c r="C136" s="20">
        <f>REDONDEAR(C135*(1-'Parámetros'!$B$7)^(1/12),0)</f>
        <v/>
      </c>
      <c r="D136" s="21">
        <f>C136*'Parámetros'!$B$6</f>
        <v/>
      </c>
      <c r="E136" s="21">
        <f>E135+D136</f>
        <v/>
      </c>
      <c r="F136" s="21">
        <f>MAX(0, MIN('Parámetros'!$B$15-G135, D136*'Parámetros'!$B$16))</f>
        <v/>
      </c>
      <c r="G136" s="21">
        <f>G135+F136</f>
        <v/>
      </c>
      <c r="H136" s="21">
        <f>H135+IF(J136&gt;J135,(J136-J135)*('Parámetros'!$B$12*'Parámetros'!$B$23*'Parámetros'!$B$21*'Parámetros'!$B$22*'Parámetros'!$B$24),0)</f>
        <v/>
      </c>
      <c r="I136" s="22">
        <f>E136+G136+H136</f>
        <v/>
      </c>
      <c r="J136" s="19">
        <f>ENTERO(I136/('Parámetros'!$B$10*(1+'Parámetros'!$B$13)^((133-1)/12)))</f>
        <v/>
      </c>
      <c r="K136" s="19">
        <f>J136*'Parámetros'!$B$12</f>
        <v/>
      </c>
      <c r="L136" s="19">
        <f>MAX(0,C136-K136)</f>
        <v/>
      </c>
      <c r="M136" s="21">
        <f>K136*('Parámetros'!$B$26*(1+'Parámetros'!$B$27)^((133-1)/12))</f>
        <v/>
      </c>
      <c r="N136" s="21">
        <f>N135+M136</f>
        <v/>
      </c>
      <c r="O136" s="21">
        <f>IF(133&lt;='Parámetros'!$B$19,0,G136*'Parámetros'!$B$17/12)</f>
        <v/>
      </c>
      <c r="P136" s="22">
        <f>D136+M136-O136</f>
        <v/>
      </c>
      <c r="Q136" s="22">
        <f>Q135+P136</f>
        <v/>
      </c>
    </row>
    <row r="137">
      <c r="A137" s="23" t="n">
        <v>134</v>
      </c>
      <c r="B137" s="23">
        <f>INT((134-1)/12)+1</f>
        <v/>
      </c>
      <c r="C137" s="24">
        <f>REDONDEAR(C136*(1-'Parámetros'!$B$7)^(1/12),0)</f>
        <v/>
      </c>
      <c r="D137" s="25">
        <f>C137*'Parámetros'!$B$6</f>
        <v/>
      </c>
      <c r="E137" s="25">
        <f>E136+D137</f>
        <v/>
      </c>
      <c r="F137" s="25">
        <f>MAX(0, MIN('Parámetros'!$B$15-G136, D137*'Parámetros'!$B$16))</f>
        <v/>
      </c>
      <c r="G137" s="25">
        <f>G136+F137</f>
        <v/>
      </c>
      <c r="H137" s="25">
        <f>H136+IF(J137&gt;J136,(J137-J136)*('Parámetros'!$B$12*'Parámetros'!$B$23*'Parámetros'!$B$21*'Parámetros'!$B$22*'Parámetros'!$B$24),0)</f>
        <v/>
      </c>
      <c r="I137" s="26">
        <f>E137+G137+H137</f>
        <v/>
      </c>
      <c r="J137" s="23">
        <f>ENTERO(I137/('Parámetros'!$B$10*(1+'Parámetros'!$B$13)^((134-1)/12)))</f>
        <v/>
      </c>
      <c r="K137" s="23">
        <f>J137*'Parámetros'!$B$12</f>
        <v/>
      </c>
      <c r="L137" s="23">
        <f>MAX(0,C137-K137)</f>
        <v/>
      </c>
      <c r="M137" s="25">
        <f>K137*('Parámetros'!$B$26*(1+'Parámetros'!$B$27)^((134-1)/12))</f>
        <v/>
      </c>
      <c r="N137" s="25">
        <f>N136+M137</f>
        <v/>
      </c>
      <c r="O137" s="25">
        <f>IF(134&lt;='Parámetros'!$B$19,0,G137*'Parámetros'!$B$17/12)</f>
        <v/>
      </c>
      <c r="P137" s="26">
        <f>D137+M137-O137</f>
        <v/>
      </c>
      <c r="Q137" s="26">
        <f>Q136+P137</f>
        <v/>
      </c>
    </row>
    <row r="138">
      <c r="A138" s="19" t="n">
        <v>135</v>
      </c>
      <c r="B138" s="19">
        <f>INT((135-1)/12)+1</f>
        <v/>
      </c>
      <c r="C138" s="20">
        <f>REDONDEAR(C137*(1-'Parámetros'!$B$7)^(1/12),0)</f>
        <v/>
      </c>
      <c r="D138" s="21">
        <f>C138*'Parámetros'!$B$6</f>
        <v/>
      </c>
      <c r="E138" s="21">
        <f>E137+D138</f>
        <v/>
      </c>
      <c r="F138" s="21">
        <f>MAX(0, MIN('Parámetros'!$B$15-G137, D138*'Parámetros'!$B$16))</f>
        <v/>
      </c>
      <c r="G138" s="21">
        <f>G137+F138</f>
        <v/>
      </c>
      <c r="H138" s="21">
        <f>H137+IF(J138&gt;J137,(J138-J137)*('Parámetros'!$B$12*'Parámetros'!$B$23*'Parámetros'!$B$21*'Parámetros'!$B$22*'Parámetros'!$B$24),0)</f>
        <v/>
      </c>
      <c r="I138" s="22">
        <f>E138+G138+H138</f>
        <v/>
      </c>
      <c r="J138" s="19">
        <f>ENTERO(I138/('Parámetros'!$B$10*(1+'Parámetros'!$B$13)^((135-1)/12)))</f>
        <v/>
      </c>
      <c r="K138" s="19">
        <f>J138*'Parámetros'!$B$12</f>
        <v/>
      </c>
      <c r="L138" s="19">
        <f>MAX(0,C138-K138)</f>
        <v/>
      </c>
      <c r="M138" s="21">
        <f>K138*('Parámetros'!$B$26*(1+'Parámetros'!$B$27)^((135-1)/12))</f>
        <v/>
      </c>
      <c r="N138" s="21">
        <f>N137+M138</f>
        <v/>
      </c>
      <c r="O138" s="21">
        <f>IF(135&lt;='Parámetros'!$B$19,0,G138*'Parámetros'!$B$17/12)</f>
        <v/>
      </c>
      <c r="P138" s="22">
        <f>D138+M138-O138</f>
        <v/>
      </c>
      <c r="Q138" s="22">
        <f>Q137+P138</f>
        <v/>
      </c>
    </row>
    <row r="139">
      <c r="A139" s="23" t="n">
        <v>136</v>
      </c>
      <c r="B139" s="23">
        <f>INT((136-1)/12)+1</f>
        <v/>
      </c>
      <c r="C139" s="24">
        <f>REDONDEAR(C138*(1-'Parámetros'!$B$7)^(1/12),0)</f>
        <v/>
      </c>
      <c r="D139" s="25">
        <f>C139*'Parámetros'!$B$6</f>
        <v/>
      </c>
      <c r="E139" s="25">
        <f>E138+D139</f>
        <v/>
      </c>
      <c r="F139" s="25">
        <f>MAX(0, MIN('Parámetros'!$B$15-G138, D139*'Parámetros'!$B$16))</f>
        <v/>
      </c>
      <c r="G139" s="25">
        <f>G138+F139</f>
        <v/>
      </c>
      <c r="H139" s="25">
        <f>H138+IF(J139&gt;J138,(J139-J138)*('Parámetros'!$B$12*'Parámetros'!$B$23*'Parámetros'!$B$21*'Parámetros'!$B$22*'Parámetros'!$B$24),0)</f>
        <v/>
      </c>
      <c r="I139" s="26">
        <f>E139+G139+H139</f>
        <v/>
      </c>
      <c r="J139" s="23">
        <f>ENTERO(I139/('Parámetros'!$B$10*(1+'Parámetros'!$B$13)^((136-1)/12)))</f>
        <v/>
      </c>
      <c r="K139" s="23">
        <f>J139*'Parámetros'!$B$12</f>
        <v/>
      </c>
      <c r="L139" s="23">
        <f>MAX(0,C139-K139)</f>
        <v/>
      </c>
      <c r="M139" s="25">
        <f>K139*('Parámetros'!$B$26*(1+'Parámetros'!$B$27)^((136-1)/12))</f>
        <v/>
      </c>
      <c r="N139" s="25">
        <f>N138+M139</f>
        <v/>
      </c>
      <c r="O139" s="25">
        <f>IF(136&lt;='Parámetros'!$B$19,0,G139*'Parámetros'!$B$17/12)</f>
        <v/>
      </c>
      <c r="P139" s="26">
        <f>D139+M139-O139</f>
        <v/>
      </c>
      <c r="Q139" s="26">
        <f>Q138+P139</f>
        <v/>
      </c>
    </row>
    <row r="140">
      <c r="A140" s="19" t="n">
        <v>137</v>
      </c>
      <c r="B140" s="19">
        <f>INT((137-1)/12)+1</f>
        <v/>
      </c>
      <c r="C140" s="20">
        <f>REDONDEAR(C139*(1-'Parámetros'!$B$7)^(1/12),0)</f>
        <v/>
      </c>
      <c r="D140" s="21">
        <f>C140*'Parámetros'!$B$6</f>
        <v/>
      </c>
      <c r="E140" s="21">
        <f>E139+D140</f>
        <v/>
      </c>
      <c r="F140" s="21">
        <f>MAX(0, MIN('Parámetros'!$B$15-G139, D140*'Parámetros'!$B$16))</f>
        <v/>
      </c>
      <c r="G140" s="21">
        <f>G139+F140</f>
        <v/>
      </c>
      <c r="H140" s="21">
        <f>H139+IF(J140&gt;J139,(J140-J139)*('Parámetros'!$B$12*'Parámetros'!$B$23*'Parámetros'!$B$21*'Parámetros'!$B$22*'Parámetros'!$B$24),0)</f>
        <v/>
      </c>
      <c r="I140" s="22">
        <f>E140+G140+H140</f>
        <v/>
      </c>
      <c r="J140" s="19">
        <f>ENTERO(I140/('Parámetros'!$B$10*(1+'Parámetros'!$B$13)^((137-1)/12)))</f>
        <v/>
      </c>
      <c r="K140" s="19">
        <f>J140*'Parámetros'!$B$12</f>
        <v/>
      </c>
      <c r="L140" s="19">
        <f>MAX(0,C140-K140)</f>
        <v/>
      </c>
      <c r="M140" s="21">
        <f>K140*('Parámetros'!$B$26*(1+'Parámetros'!$B$27)^((137-1)/12))</f>
        <v/>
      </c>
      <c r="N140" s="21">
        <f>N139+M140</f>
        <v/>
      </c>
      <c r="O140" s="21">
        <f>IF(137&lt;='Parámetros'!$B$19,0,G140*'Parámetros'!$B$17/12)</f>
        <v/>
      </c>
      <c r="P140" s="22">
        <f>D140+M140-O140</f>
        <v/>
      </c>
      <c r="Q140" s="22">
        <f>Q139+P140</f>
        <v/>
      </c>
    </row>
    <row r="141">
      <c r="A141" s="23" t="n">
        <v>138</v>
      </c>
      <c r="B141" s="23">
        <f>INT((138-1)/12)+1</f>
        <v/>
      </c>
      <c r="C141" s="24">
        <f>REDONDEAR(C140*(1-'Parámetros'!$B$7)^(1/12),0)</f>
        <v/>
      </c>
      <c r="D141" s="25">
        <f>C141*'Parámetros'!$B$6</f>
        <v/>
      </c>
      <c r="E141" s="25">
        <f>E140+D141</f>
        <v/>
      </c>
      <c r="F141" s="25">
        <f>MAX(0, MIN('Parámetros'!$B$15-G140, D141*'Parámetros'!$B$16))</f>
        <v/>
      </c>
      <c r="G141" s="25">
        <f>G140+F141</f>
        <v/>
      </c>
      <c r="H141" s="25">
        <f>H140+IF(J141&gt;J140,(J141-J140)*('Parámetros'!$B$12*'Parámetros'!$B$23*'Parámetros'!$B$21*'Parámetros'!$B$22*'Parámetros'!$B$24),0)</f>
        <v/>
      </c>
      <c r="I141" s="26">
        <f>E141+G141+H141</f>
        <v/>
      </c>
      <c r="J141" s="23">
        <f>ENTERO(I141/('Parámetros'!$B$10*(1+'Parámetros'!$B$13)^((138-1)/12)))</f>
        <v/>
      </c>
      <c r="K141" s="23">
        <f>J141*'Parámetros'!$B$12</f>
        <v/>
      </c>
      <c r="L141" s="23">
        <f>MAX(0,C141-K141)</f>
        <v/>
      </c>
      <c r="M141" s="25">
        <f>K141*('Parámetros'!$B$26*(1+'Parámetros'!$B$27)^((138-1)/12))</f>
        <v/>
      </c>
      <c r="N141" s="25">
        <f>N140+M141</f>
        <v/>
      </c>
      <c r="O141" s="25">
        <f>IF(138&lt;='Parámetros'!$B$19,0,G141*'Parámetros'!$B$17/12)</f>
        <v/>
      </c>
      <c r="P141" s="26">
        <f>D141+M141-O141</f>
        <v/>
      </c>
      <c r="Q141" s="26">
        <f>Q140+P141</f>
        <v/>
      </c>
    </row>
    <row r="142">
      <c r="A142" s="19" t="n">
        <v>139</v>
      </c>
      <c r="B142" s="19">
        <f>INT((139-1)/12)+1</f>
        <v/>
      </c>
      <c r="C142" s="20">
        <f>REDONDEAR(C141*(1-'Parámetros'!$B$7)^(1/12),0)</f>
        <v/>
      </c>
      <c r="D142" s="21">
        <f>C142*'Parámetros'!$B$6</f>
        <v/>
      </c>
      <c r="E142" s="21">
        <f>E141+D142</f>
        <v/>
      </c>
      <c r="F142" s="21">
        <f>MAX(0, MIN('Parámetros'!$B$15-G141, D142*'Parámetros'!$B$16))</f>
        <v/>
      </c>
      <c r="G142" s="21">
        <f>G141+F142</f>
        <v/>
      </c>
      <c r="H142" s="21">
        <f>H141+IF(J142&gt;J141,(J142-J141)*('Parámetros'!$B$12*'Parámetros'!$B$23*'Parámetros'!$B$21*'Parámetros'!$B$22*'Parámetros'!$B$24),0)</f>
        <v/>
      </c>
      <c r="I142" s="22">
        <f>E142+G142+H142</f>
        <v/>
      </c>
      <c r="J142" s="19">
        <f>ENTERO(I142/('Parámetros'!$B$10*(1+'Parámetros'!$B$13)^((139-1)/12)))</f>
        <v/>
      </c>
      <c r="K142" s="19">
        <f>J142*'Parámetros'!$B$12</f>
        <v/>
      </c>
      <c r="L142" s="19">
        <f>MAX(0,C142-K142)</f>
        <v/>
      </c>
      <c r="M142" s="21">
        <f>K142*('Parámetros'!$B$26*(1+'Parámetros'!$B$27)^((139-1)/12))</f>
        <v/>
      </c>
      <c r="N142" s="21">
        <f>N141+M142</f>
        <v/>
      </c>
      <c r="O142" s="21">
        <f>IF(139&lt;='Parámetros'!$B$19,0,G142*'Parámetros'!$B$17/12)</f>
        <v/>
      </c>
      <c r="P142" s="22">
        <f>D142+M142-O142</f>
        <v/>
      </c>
      <c r="Q142" s="22">
        <f>Q141+P142</f>
        <v/>
      </c>
    </row>
    <row r="143">
      <c r="A143" s="23" t="n">
        <v>140</v>
      </c>
      <c r="B143" s="23">
        <f>INT((140-1)/12)+1</f>
        <v/>
      </c>
      <c r="C143" s="24">
        <f>REDONDEAR(C142*(1-'Parámetros'!$B$7)^(1/12),0)</f>
        <v/>
      </c>
      <c r="D143" s="25">
        <f>C143*'Parámetros'!$B$6</f>
        <v/>
      </c>
      <c r="E143" s="25">
        <f>E142+D143</f>
        <v/>
      </c>
      <c r="F143" s="25">
        <f>MAX(0, MIN('Parámetros'!$B$15-G142, D143*'Parámetros'!$B$16))</f>
        <v/>
      </c>
      <c r="G143" s="25">
        <f>G142+F143</f>
        <v/>
      </c>
      <c r="H143" s="25">
        <f>H142+IF(J143&gt;J142,(J143-J142)*('Parámetros'!$B$12*'Parámetros'!$B$23*'Parámetros'!$B$21*'Parámetros'!$B$22*'Parámetros'!$B$24),0)</f>
        <v/>
      </c>
      <c r="I143" s="26">
        <f>E143+G143+H143</f>
        <v/>
      </c>
      <c r="J143" s="23">
        <f>ENTERO(I143/('Parámetros'!$B$10*(1+'Parámetros'!$B$13)^((140-1)/12)))</f>
        <v/>
      </c>
      <c r="K143" s="23">
        <f>J143*'Parámetros'!$B$12</f>
        <v/>
      </c>
      <c r="L143" s="23">
        <f>MAX(0,C143-K143)</f>
        <v/>
      </c>
      <c r="M143" s="25">
        <f>K143*('Parámetros'!$B$26*(1+'Parámetros'!$B$27)^((140-1)/12))</f>
        <v/>
      </c>
      <c r="N143" s="25">
        <f>N142+M143</f>
        <v/>
      </c>
      <c r="O143" s="25">
        <f>IF(140&lt;='Parámetros'!$B$19,0,G143*'Parámetros'!$B$17/12)</f>
        <v/>
      </c>
      <c r="P143" s="26">
        <f>D143+M143-O143</f>
        <v/>
      </c>
      <c r="Q143" s="26">
        <f>Q142+P143</f>
        <v/>
      </c>
    </row>
    <row r="144">
      <c r="A144" s="19" t="n">
        <v>141</v>
      </c>
      <c r="B144" s="19">
        <f>INT((141-1)/12)+1</f>
        <v/>
      </c>
      <c r="C144" s="20">
        <f>REDONDEAR(C143*(1-'Parámetros'!$B$7)^(1/12),0)</f>
        <v/>
      </c>
      <c r="D144" s="21">
        <f>C144*'Parámetros'!$B$6</f>
        <v/>
      </c>
      <c r="E144" s="21">
        <f>E143+D144</f>
        <v/>
      </c>
      <c r="F144" s="21">
        <f>MAX(0, MIN('Parámetros'!$B$15-G143, D144*'Parámetros'!$B$16))</f>
        <v/>
      </c>
      <c r="G144" s="21">
        <f>G143+F144</f>
        <v/>
      </c>
      <c r="H144" s="21">
        <f>H143+IF(J144&gt;J143,(J144-J143)*('Parámetros'!$B$12*'Parámetros'!$B$23*'Parámetros'!$B$21*'Parámetros'!$B$22*'Parámetros'!$B$24),0)</f>
        <v/>
      </c>
      <c r="I144" s="22">
        <f>E144+G144+H144</f>
        <v/>
      </c>
      <c r="J144" s="19">
        <f>ENTERO(I144/('Parámetros'!$B$10*(1+'Parámetros'!$B$13)^((141-1)/12)))</f>
        <v/>
      </c>
      <c r="K144" s="19">
        <f>J144*'Parámetros'!$B$12</f>
        <v/>
      </c>
      <c r="L144" s="19">
        <f>MAX(0,C144-K144)</f>
        <v/>
      </c>
      <c r="M144" s="21">
        <f>K144*('Parámetros'!$B$26*(1+'Parámetros'!$B$27)^((141-1)/12))</f>
        <v/>
      </c>
      <c r="N144" s="21">
        <f>N143+M144</f>
        <v/>
      </c>
      <c r="O144" s="21">
        <f>IF(141&lt;='Parámetros'!$B$19,0,G144*'Parámetros'!$B$17/12)</f>
        <v/>
      </c>
      <c r="P144" s="22">
        <f>D144+M144-O144</f>
        <v/>
      </c>
      <c r="Q144" s="22">
        <f>Q143+P144</f>
        <v/>
      </c>
    </row>
    <row r="145">
      <c r="A145" s="23" t="n">
        <v>142</v>
      </c>
      <c r="B145" s="23">
        <f>INT((142-1)/12)+1</f>
        <v/>
      </c>
      <c r="C145" s="24">
        <f>REDONDEAR(C144*(1-'Parámetros'!$B$7)^(1/12),0)</f>
        <v/>
      </c>
      <c r="D145" s="25">
        <f>C145*'Parámetros'!$B$6</f>
        <v/>
      </c>
      <c r="E145" s="25">
        <f>E144+D145</f>
        <v/>
      </c>
      <c r="F145" s="25">
        <f>MAX(0, MIN('Parámetros'!$B$15-G144, D145*'Parámetros'!$B$16))</f>
        <v/>
      </c>
      <c r="G145" s="25">
        <f>G144+F145</f>
        <v/>
      </c>
      <c r="H145" s="25">
        <f>H144+IF(J145&gt;J144,(J145-J144)*('Parámetros'!$B$12*'Parámetros'!$B$23*'Parámetros'!$B$21*'Parámetros'!$B$22*'Parámetros'!$B$24),0)</f>
        <v/>
      </c>
      <c r="I145" s="26">
        <f>E145+G145+H145</f>
        <v/>
      </c>
      <c r="J145" s="23">
        <f>ENTERO(I145/('Parámetros'!$B$10*(1+'Parámetros'!$B$13)^((142-1)/12)))</f>
        <v/>
      </c>
      <c r="K145" s="23">
        <f>J145*'Parámetros'!$B$12</f>
        <v/>
      </c>
      <c r="L145" s="23">
        <f>MAX(0,C145-K145)</f>
        <v/>
      </c>
      <c r="M145" s="25">
        <f>K145*('Parámetros'!$B$26*(1+'Parámetros'!$B$27)^((142-1)/12))</f>
        <v/>
      </c>
      <c r="N145" s="25">
        <f>N144+M145</f>
        <v/>
      </c>
      <c r="O145" s="25">
        <f>IF(142&lt;='Parámetros'!$B$19,0,G145*'Parámetros'!$B$17/12)</f>
        <v/>
      </c>
      <c r="P145" s="26">
        <f>D145+M145-O145</f>
        <v/>
      </c>
      <c r="Q145" s="26">
        <f>Q144+P145</f>
        <v/>
      </c>
    </row>
    <row r="146">
      <c r="A146" s="19" t="n">
        <v>143</v>
      </c>
      <c r="B146" s="19">
        <f>INT((143-1)/12)+1</f>
        <v/>
      </c>
      <c r="C146" s="20">
        <f>REDONDEAR(C145*(1-'Parámetros'!$B$7)^(1/12),0)</f>
        <v/>
      </c>
      <c r="D146" s="21">
        <f>C146*'Parámetros'!$B$6</f>
        <v/>
      </c>
      <c r="E146" s="21">
        <f>E145+D146</f>
        <v/>
      </c>
      <c r="F146" s="21">
        <f>MAX(0, MIN('Parámetros'!$B$15-G145, D146*'Parámetros'!$B$16))</f>
        <v/>
      </c>
      <c r="G146" s="21">
        <f>G145+F146</f>
        <v/>
      </c>
      <c r="H146" s="21">
        <f>H145+IF(J146&gt;J145,(J146-J145)*('Parámetros'!$B$12*'Parámetros'!$B$23*'Parámetros'!$B$21*'Parámetros'!$B$22*'Parámetros'!$B$24),0)</f>
        <v/>
      </c>
      <c r="I146" s="22">
        <f>E146+G146+H146</f>
        <v/>
      </c>
      <c r="J146" s="19">
        <f>ENTERO(I146/('Parámetros'!$B$10*(1+'Parámetros'!$B$13)^((143-1)/12)))</f>
        <v/>
      </c>
      <c r="K146" s="19">
        <f>J146*'Parámetros'!$B$12</f>
        <v/>
      </c>
      <c r="L146" s="19">
        <f>MAX(0,C146-K146)</f>
        <v/>
      </c>
      <c r="M146" s="21">
        <f>K146*('Parámetros'!$B$26*(1+'Parámetros'!$B$27)^((143-1)/12))</f>
        <v/>
      </c>
      <c r="N146" s="21">
        <f>N145+M146</f>
        <v/>
      </c>
      <c r="O146" s="21">
        <f>IF(143&lt;='Parámetros'!$B$19,0,G146*'Parámetros'!$B$17/12)</f>
        <v/>
      </c>
      <c r="P146" s="22">
        <f>D146+M146-O146</f>
        <v/>
      </c>
      <c r="Q146" s="22">
        <f>Q145+P146</f>
        <v/>
      </c>
    </row>
    <row r="147">
      <c r="A147" s="23" t="n">
        <v>144</v>
      </c>
      <c r="B147" s="23">
        <f>INT((144-1)/12)+1</f>
        <v/>
      </c>
      <c r="C147" s="24">
        <f>REDONDEAR(C146*(1-'Parámetros'!$B$7)^(1/12),0)</f>
        <v/>
      </c>
      <c r="D147" s="25">
        <f>C147*'Parámetros'!$B$6</f>
        <v/>
      </c>
      <c r="E147" s="25">
        <f>E146+D147</f>
        <v/>
      </c>
      <c r="F147" s="25">
        <f>MAX(0, MIN('Parámetros'!$B$15-G146, D147*'Parámetros'!$B$16))</f>
        <v/>
      </c>
      <c r="G147" s="25">
        <f>G146+F147</f>
        <v/>
      </c>
      <c r="H147" s="25">
        <f>H146+IF(J147&gt;J146,(J147-J146)*('Parámetros'!$B$12*'Parámetros'!$B$23*'Parámetros'!$B$21*'Parámetros'!$B$22*'Parámetros'!$B$24),0)</f>
        <v/>
      </c>
      <c r="I147" s="26">
        <f>E147+G147+H147</f>
        <v/>
      </c>
      <c r="J147" s="23">
        <f>ENTERO(I147/('Parámetros'!$B$10*(1+'Parámetros'!$B$13)^((144-1)/12)))</f>
        <v/>
      </c>
      <c r="K147" s="23">
        <f>J147*'Parámetros'!$B$12</f>
        <v/>
      </c>
      <c r="L147" s="23">
        <f>MAX(0,C147-K147)</f>
        <v/>
      </c>
      <c r="M147" s="25">
        <f>K147*('Parámetros'!$B$26*(1+'Parámetros'!$B$27)^((144-1)/12))</f>
        <v/>
      </c>
      <c r="N147" s="25">
        <f>N146+M147</f>
        <v/>
      </c>
      <c r="O147" s="25">
        <f>IF(144&lt;='Parámetros'!$B$19,0,G147*'Parámetros'!$B$17/12)</f>
        <v/>
      </c>
      <c r="P147" s="26">
        <f>D147+M147-O147</f>
        <v/>
      </c>
      <c r="Q147" s="26">
        <f>Q146+P147</f>
        <v/>
      </c>
    </row>
    <row r="148">
      <c r="A148" s="19" t="n">
        <v>145</v>
      </c>
      <c r="B148" s="19">
        <f>INT((145-1)/12)+1</f>
        <v/>
      </c>
      <c r="C148" s="20">
        <f>REDONDEAR(C147*(1-'Parámetros'!$B$7)^(1/12),0)</f>
        <v/>
      </c>
      <c r="D148" s="21">
        <f>C148*'Parámetros'!$B$6</f>
        <v/>
      </c>
      <c r="E148" s="21">
        <f>E147+D148</f>
        <v/>
      </c>
      <c r="F148" s="21">
        <f>MAX(0, MIN('Parámetros'!$B$15-G147, D148*'Parámetros'!$B$16))</f>
        <v/>
      </c>
      <c r="G148" s="21">
        <f>G147+F148</f>
        <v/>
      </c>
      <c r="H148" s="21">
        <f>H147+IF(J148&gt;J147,(J148-J147)*('Parámetros'!$B$12*'Parámetros'!$B$23*'Parámetros'!$B$21*'Parámetros'!$B$22*'Parámetros'!$B$24),0)</f>
        <v/>
      </c>
      <c r="I148" s="22">
        <f>E148+G148+H148</f>
        <v/>
      </c>
      <c r="J148" s="19">
        <f>ENTERO(I148/('Parámetros'!$B$10*(1+'Parámetros'!$B$13)^((145-1)/12)))</f>
        <v/>
      </c>
      <c r="K148" s="19">
        <f>J148*'Parámetros'!$B$12</f>
        <v/>
      </c>
      <c r="L148" s="19">
        <f>MAX(0,C148-K148)</f>
        <v/>
      </c>
      <c r="M148" s="21">
        <f>K148*('Parámetros'!$B$26*(1+'Parámetros'!$B$27)^((145-1)/12))</f>
        <v/>
      </c>
      <c r="N148" s="21">
        <f>N147+M148</f>
        <v/>
      </c>
      <c r="O148" s="21">
        <f>IF(145&lt;='Parámetros'!$B$19,0,G148*'Parámetros'!$B$17/12)</f>
        <v/>
      </c>
      <c r="P148" s="22">
        <f>D148+M148-O148</f>
        <v/>
      </c>
      <c r="Q148" s="22">
        <f>Q147+P148</f>
        <v/>
      </c>
    </row>
    <row r="149">
      <c r="A149" s="23" t="n">
        <v>146</v>
      </c>
      <c r="B149" s="23">
        <f>INT((146-1)/12)+1</f>
        <v/>
      </c>
      <c r="C149" s="24">
        <f>REDONDEAR(C148*(1-'Parámetros'!$B$7)^(1/12),0)</f>
        <v/>
      </c>
      <c r="D149" s="25">
        <f>C149*'Parámetros'!$B$6</f>
        <v/>
      </c>
      <c r="E149" s="25">
        <f>E148+D149</f>
        <v/>
      </c>
      <c r="F149" s="25">
        <f>MAX(0, MIN('Parámetros'!$B$15-G148, D149*'Parámetros'!$B$16))</f>
        <v/>
      </c>
      <c r="G149" s="25">
        <f>G148+F149</f>
        <v/>
      </c>
      <c r="H149" s="25">
        <f>H148+IF(J149&gt;J148,(J149-J148)*('Parámetros'!$B$12*'Parámetros'!$B$23*'Parámetros'!$B$21*'Parámetros'!$B$22*'Parámetros'!$B$24),0)</f>
        <v/>
      </c>
      <c r="I149" s="26">
        <f>E149+G149+H149</f>
        <v/>
      </c>
      <c r="J149" s="23">
        <f>ENTERO(I149/('Parámetros'!$B$10*(1+'Parámetros'!$B$13)^((146-1)/12)))</f>
        <v/>
      </c>
      <c r="K149" s="23">
        <f>J149*'Parámetros'!$B$12</f>
        <v/>
      </c>
      <c r="L149" s="23">
        <f>MAX(0,C149-K149)</f>
        <v/>
      </c>
      <c r="M149" s="25">
        <f>K149*('Parámetros'!$B$26*(1+'Parámetros'!$B$27)^((146-1)/12))</f>
        <v/>
      </c>
      <c r="N149" s="25">
        <f>N148+M149</f>
        <v/>
      </c>
      <c r="O149" s="25">
        <f>IF(146&lt;='Parámetros'!$B$19,0,G149*'Parámetros'!$B$17/12)</f>
        <v/>
      </c>
      <c r="P149" s="26">
        <f>D149+M149-O149</f>
        <v/>
      </c>
      <c r="Q149" s="26">
        <f>Q148+P149</f>
        <v/>
      </c>
    </row>
    <row r="150">
      <c r="A150" s="19" t="n">
        <v>147</v>
      </c>
      <c r="B150" s="19">
        <f>INT((147-1)/12)+1</f>
        <v/>
      </c>
      <c r="C150" s="20">
        <f>REDONDEAR(C149*(1-'Parámetros'!$B$7)^(1/12),0)</f>
        <v/>
      </c>
      <c r="D150" s="21">
        <f>C150*'Parámetros'!$B$6</f>
        <v/>
      </c>
      <c r="E150" s="21">
        <f>E149+D150</f>
        <v/>
      </c>
      <c r="F150" s="21">
        <f>MAX(0, MIN('Parámetros'!$B$15-G149, D150*'Parámetros'!$B$16))</f>
        <v/>
      </c>
      <c r="G150" s="21">
        <f>G149+F150</f>
        <v/>
      </c>
      <c r="H150" s="21">
        <f>H149+IF(J150&gt;J149,(J150-J149)*('Parámetros'!$B$12*'Parámetros'!$B$23*'Parámetros'!$B$21*'Parámetros'!$B$22*'Parámetros'!$B$24),0)</f>
        <v/>
      </c>
      <c r="I150" s="22">
        <f>E150+G150+H150</f>
        <v/>
      </c>
      <c r="J150" s="19">
        <f>ENTERO(I150/('Parámetros'!$B$10*(1+'Parámetros'!$B$13)^((147-1)/12)))</f>
        <v/>
      </c>
      <c r="K150" s="19">
        <f>J150*'Parámetros'!$B$12</f>
        <v/>
      </c>
      <c r="L150" s="19">
        <f>MAX(0,C150-K150)</f>
        <v/>
      </c>
      <c r="M150" s="21">
        <f>K150*('Parámetros'!$B$26*(1+'Parámetros'!$B$27)^((147-1)/12))</f>
        <v/>
      </c>
      <c r="N150" s="21">
        <f>N149+M150</f>
        <v/>
      </c>
      <c r="O150" s="21">
        <f>IF(147&lt;='Parámetros'!$B$19,0,G150*'Parámetros'!$B$17/12)</f>
        <v/>
      </c>
      <c r="P150" s="22">
        <f>D150+M150-O150</f>
        <v/>
      </c>
      <c r="Q150" s="22">
        <f>Q149+P150</f>
        <v/>
      </c>
    </row>
    <row r="151">
      <c r="A151" s="23" t="n">
        <v>148</v>
      </c>
      <c r="B151" s="23">
        <f>INT((148-1)/12)+1</f>
        <v/>
      </c>
      <c r="C151" s="24">
        <f>REDONDEAR(C150*(1-'Parámetros'!$B$7)^(1/12),0)</f>
        <v/>
      </c>
      <c r="D151" s="25">
        <f>C151*'Parámetros'!$B$6</f>
        <v/>
      </c>
      <c r="E151" s="25">
        <f>E150+D151</f>
        <v/>
      </c>
      <c r="F151" s="25">
        <f>MAX(0, MIN('Parámetros'!$B$15-G150, D151*'Parámetros'!$B$16))</f>
        <v/>
      </c>
      <c r="G151" s="25">
        <f>G150+F151</f>
        <v/>
      </c>
      <c r="H151" s="25">
        <f>H150+IF(J151&gt;J150,(J151-J150)*('Parámetros'!$B$12*'Parámetros'!$B$23*'Parámetros'!$B$21*'Parámetros'!$B$22*'Parámetros'!$B$24),0)</f>
        <v/>
      </c>
      <c r="I151" s="26">
        <f>E151+G151+H151</f>
        <v/>
      </c>
      <c r="J151" s="23">
        <f>ENTERO(I151/('Parámetros'!$B$10*(1+'Parámetros'!$B$13)^((148-1)/12)))</f>
        <v/>
      </c>
      <c r="K151" s="23">
        <f>J151*'Parámetros'!$B$12</f>
        <v/>
      </c>
      <c r="L151" s="23">
        <f>MAX(0,C151-K151)</f>
        <v/>
      </c>
      <c r="M151" s="25">
        <f>K151*('Parámetros'!$B$26*(1+'Parámetros'!$B$27)^((148-1)/12))</f>
        <v/>
      </c>
      <c r="N151" s="25">
        <f>N150+M151</f>
        <v/>
      </c>
      <c r="O151" s="25">
        <f>IF(148&lt;='Parámetros'!$B$19,0,G151*'Parámetros'!$B$17/12)</f>
        <v/>
      </c>
      <c r="P151" s="26">
        <f>D151+M151-O151</f>
        <v/>
      </c>
      <c r="Q151" s="26">
        <f>Q150+P151</f>
        <v/>
      </c>
    </row>
    <row r="152">
      <c r="A152" s="19" t="n">
        <v>149</v>
      </c>
      <c r="B152" s="19">
        <f>INT((149-1)/12)+1</f>
        <v/>
      </c>
      <c r="C152" s="20">
        <f>REDONDEAR(C151*(1-'Parámetros'!$B$7)^(1/12),0)</f>
        <v/>
      </c>
      <c r="D152" s="21">
        <f>C152*'Parámetros'!$B$6</f>
        <v/>
      </c>
      <c r="E152" s="21">
        <f>E151+D152</f>
        <v/>
      </c>
      <c r="F152" s="21">
        <f>MAX(0, MIN('Parámetros'!$B$15-G151, D152*'Parámetros'!$B$16))</f>
        <v/>
      </c>
      <c r="G152" s="21">
        <f>G151+F152</f>
        <v/>
      </c>
      <c r="H152" s="21">
        <f>H151+IF(J152&gt;J151,(J152-J151)*('Parámetros'!$B$12*'Parámetros'!$B$23*'Parámetros'!$B$21*'Parámetros'!$B$22*'Parámetros'!$B$24),0)</f>
        <v/>
      </c>
      <c r="I152" s="22">
        <f>E152+G152+H152</f>
        <v/>
      </c>
      <c r="J152" s="19">
        <f>ENTERO(I152/('Parámetros'!$B$10*(1+'Parámetros'!$B$13)^((149-1)/12)))</f>
        <v/>
      </c>
      <c r="K152" s="19">
        <f>J152*'Parámetros'!$B$12</f>
        <v/>
      </c>
      <c r="L152" s="19">
        <f>MAX(0,C152-K152)</f>
        <v/>
      </c>
      <c r="M152" s="21">
        <f>K152*('Parámetros'!$B$26*(1+'Parámetros'!$B$27)^((149-1)/12))</f>
        <v/>
      </c>
      <c r="N152" s="21">
        <f>N151+M152</f>
        <v/>
      </c>
      <c r="O152" s="21">
        <f>IF(149&lt;='Parámetros'!$B$19,0,G152*'Parámetros'!$B$17/12)</f>
        <v/>
      </c>
      <c r="P152" s="22">
        <f>D152+M152-O152</f>
        <v/>
      </c>
      <c r="Q152" s="22">
        <f>Q151+P152</f>
        <v/>
      </c>
    </row>
    <row r="153">
      <c r="A153" s="23" t="n">
        <v>150</v>
      </c>
      <c r="B153" s="23">
        <f>INT((150-1)/12)+1</f>
        <v/>
      </c>
      <c r="C153" s="24">
        <f>REDONDEAR(C152*(1-'Parámetros'!$B$7)^(1/12),0)</f>
        <v/>
      </c>
      <c r="D153" s="25">
        <f>C153*'Parámetros'!$B$6</f>
        <v/>
      </c>
      <c r="E153" s="25">
        <f>E152+D153</f>
        <v/>
      </c>
      <c r="F153" s="25">
        <f>MAX(0, MIN('Parámetros'!$B$15-G152, D153*'Parámetros'!$B$16))</f>
        <v/>
      </c>
      <c r="G153" s="25">
        <f>G152+F153</f>
        <v/>
      </c>
      <c r="H153" s="25">
        <f>H152+IF(J153&gt;J152,(J153-J152)*('Parámetros'!$B$12*'Parámetros'!$B$23*'Parámetros'!$B$21*'Parámetros'!$B$22*'Parámetros'!$B$24),0)</f>
        <v/>
      </c>
      <c r="I153" s="26">
        <f>E153+G153+H153</f>
        <v/>
      </c>
      <c r="J153" s="23">
        <f>ENTERO(I153/('Parámetros'!$B$10*(1+'Parámetros'!$B$13)^((150-1)/12)))</f>
        <v/>
      </c>
      <c r="K153" s="23">
        <f>J153*'Parámetros'!$B$12</f>
        <v/>
      </c>
      <c r="L153" s="23">
        <f>MAX(0,C153-K153)</f>
        <v/>
      </c>
      <c r="M153" s="25">
        <f>K153*('Parámetros'!$B$26*(1+'Parámetros'!$B$27)^((150-1)/12))</f>
        <v/>
      </c>
      <c r="N153" s="25">
        <f>N152+M153</f>
        <v/>
      </c>
      <c r="O153" s="25">
        <f>IF(150&lt;='Parámetros'!$B$19,0,G153*'Parámetros'!$B$17/12)</f>
        <v/>
      </c>
      <c r="P153" s="26">
        <f>D153+M153-O153</f>
        <v/>
      </c>
      <c r="Q153" s="26">
        <f>Q152+P153</f>
        <v/>
      </c>
    </row>
    <row r="154">
      <c r="A154" s="19" t="n">
        <v>151</v>
      </c>
      <c r="B154" s="19">
        <f>INT((151-1)/12)+1</f>
        <v/>
      </c>
      <c r="C154" s="20">
        <f>REDONDEAR(C153*(1-'Parámetros'!$B$7)^(1/12),0)</f>
        <v/>
      </c>
      <c r="D154" s="21">
        <f>C154*'Parámetros'!$B$6</f>
        <v/>
      </c>
      <c r="E154" s="21">
        <f>E153+D154</f>
        <v/>
      </c>
      <c r="F154" s="21">
        <f>MAX(0, MIN('Parámetros'!$B$15-G153, D154*'Parámetros'!$B$16))</f>
        <v/>
      </c>
      <c r="G154" s="21">
        <f>G153+F154</f>
        <v/>
      </c>
      <c r="H154" s="21">
        <f>H153+IF(J154&gt;J153,(J154-J153)*('Parámetros'!$B$12*'Parámetros'!$B$23*'Parámetros'!$B$21*'Parámetros'!$B$22*'Parámetros'!$B$24),0)</f>
        <v/>
      </c>
      <c r="I154" s="22">
        <f>E154+G154+H154</f>
        <v/>
      </c>
      <c r="J154" s="19">
        <f>ENTERO(I154/('Parámetros'!$B$10*(1+'Parámetros'!$B$13)^((151-1)/12)))</f>
        <v/>
      </c>
      <c r="K154" s="19">
        <f>J154*'Parámetros'!$B$12</f>
        <v/>
      </c>
      <c r="L154" s="19">
        <f>MAX(0,C154-K154)</f>
        <v/>
      </c>
      <c r="M154" s="21">
        <f>K154*('Parámetros'!$B$26*(1+'Parámetros'!$B$27)^((151-1)/12))</f>
        <v/>
      </c>
      <c r="N154" s="21">
        <f>N153+M154</f>
        <v/>
      </c>
      <c r="O154" s="21">
        <f>IF(151&lt;='Parámetros'!$B$19,0,G154*'Parámetros'!$B$17/12)</f>
        <v/>
      </c>
      <c r="P154" s="22">
        <f>D154+M154-O154</f>
        <v/>
      </c>
      <c r="Q154" s="22">
        <f>Q153+P154</f>
        <v/>
      </c>
    </row>
    <row r="155">
      <c r="A155" s="23" t="n">
        <v>152</v>
      </c>
      <c r="B155" s="23">
        <f>INT((152-1)/12)+1</f>
        <v/>
      </c>
      <c r="C155" s="24">
        <f>REDONDEAR(C154*(1-'Parámetros'!$B$7)^(1/12),0)</f>
        <v/>
      </c>
      <c r="D155" s="25">
        <f>C155*'Parámetros'!$B$6</f>
        <v/>
      </c>
      <c r="E155" s="25">
        <f>E154+D155</f>
        <v/>
      </c>
      <c r="F155" s="25">
        <f>MAX(0, MIN('Parámetros'!$B$15-G154, D155*'Parámetros'!$B$16))</f>
        <v/>
      </c>
      <c r="G155" s="25">
        <f>G154+F155</f>
        <v/>
      </c>
      <c r="H155" s="25">
        <f>H154+IF(J155&gt;J154,(J155-J154)*('Parámetros'!$B$12*'Parámetros'!$B$23*'Parámetros'!$B$21*'Parámetros'!$B$22*'Parámetros'!$B$24),0)</f>
        <v/>
      </c>
      <c r="I155" s="26">
        <f>E155+G155+H155</f>
        <v/>
      </c>
      <c r="J155" s="23">
        <f>ENTERO(I155/('Parámetros'!$B$10*(1+'Parámetros'!$B$13)^((152-1)/12)))</f>
        <v/>
      </c>
      <c r="K155" s="23">
        <f>J155*'Parámetros'!$B$12</f>
        <v/>
      </c>
      <c r="L155" s="23">
        <f>MAX(0,C155-K155)</f>
        <v/>
      </c>
      <c r="M155" s="25">
        <f>K155*('Parámetros'!$B$26*(1+'Parámetros'!$B$27)^((152-1)/12))</f>
        <v/>
      </c>
      <c r="N155" s="25">
        <f>N154+M155</f>
        <v/>
      </c>
      <c r="O155" s="25">
        <f>IF(152&lt;='Parámetros'!$B$19,0,G155*'Parámetros'!$B$17/12)</f>
        <v/>
      </c>
      <c r="P155" s="26">
        <f>D155+M155-O155</f>
        <v/>
      </c>
      <c r="Q155" s="26">
        <f>Q154+P155</f>
        <v/>
      </c>
    </row>
    <row r="156">
      <c r="A156" s="19" t="n">
        <v>153</v>
      </c>
      <c r="B156" s="19">
        <f>INT((153-1)/12)+1</f>
        <v/>
      </c>
      <c r="C156" s="20">
        <f>REDONDEAR(C155*(1-'Parámetros'!$B$7)^(1/12),0)</f>
        <v/>
      </c>
      <c r="D156" s="21">
        <f>C156*'Parámetros'!$B$6</f>
        <v/>
      </c>
      <c r="E156" s="21">
        <f>E155+D156</f>
        <v/>
      </c>
      <c r="F156" s="21">
        <f>MAX(0, MIN('Parámetros'!$B$15-G155, D156*'Parámetros'!$B$16))</f>
        <v/>
      </c>
      <c r="G156" s="21">
        <f>G155+F156</f>
        <v/>
      </c>
      <c r="H156" s="21">
        <f>H155+IF(J156&gt;J155,(J156-J155)*('Parámetros'!$B$12*'Parámetros'!$B$23*'Parámetros'!$B$21*'Parámetros'!$B$22*'Parámetros'!$B$24),0)</f>
        <v/>
      </c>
      <c r="I156" s="22">
        <f>E156+G156+H156</f>
        <v/>
      </c>
      <c r="J156" s="19">
        <f>ENTERO(I156/('Parámetros'!$B$10*(1+'Parámetros'!$B$13)^((153-1)/12)))</f>
        <v/>
      </c>
      <c r="K156" s="19">
        <f>J156*'Parámetros'!$B$12</f>
        <v/>
      </c>
      <c r="L156" s="19">
        <f>MAX(0,C156-K156)</f>
        <v/>
      </c>
      <c r="M156" s="21">
        <f>K156*('Parámetros'!$B$26*(1+'Parámetros'!$B$27)^((153-1)/12))</f>
        <v/>
      </c>
      <c r="N156" s="21">
        <f>N155+M156</f>
        <v/>
      </c>
      <c r="O156" s="21">
        <f>IF(153&lt;='Parámetros'!$B$19,0,G156*'Parámetros'!$B$17/12)</f>
        <v/>
      </c>
      <c r="P156" s="22">
        <f>D156+M156-O156</f>
        <v/>
      </c>
      <c r="Q156" s="22">
        <f>Q155+P156</f>
        <v/>
      </c>
    </row>
    <row r="157">
      <c r="A157" s="23" t="n">
        <v>154</v>
      </c>
      <c r="B157" s="23">
        <f>INT((154-1)/12)+1</f>
        <v/>
      </c>
      <c r="C157" s="24">
        <f>REDONDEAR(C156*(1-'Parámetros'!$B$7)^(1/12),0)</f>
        <v/>
      </c>
      <c r="D157" s="25">
        <f>C157*'Parámetros'!$B$6</f>
        <v/>
      </c>
      <c r="E157" s="25">
        <f>E156+D157</f>
        <v/>
      </c>
      <c r="F157" s="25">
        <f>MAX(0, MIN('Parámetros'!$B$15-G156, D157*'Parámetros'!$B$16))</f>
        <v/>
      </c>
      <c r="G157" s="25">
        <f>G156+F157</f>
        <v/>
      </c>
      <c r="H157" s="25">
        <f>H156+IF(J157&gt;J156,(J157-J156)*('Parámetros'!$B$12*'Parámetros'!$B$23*'Parámetros'!$B$21*'Parámetros'!$B$22*'Parámetros'!$B$24),0)</f>
        <v/>
      </c>
      <c r="I157" s="26">
        <f>E157+G157+H157</f>
        <v/>
      </c>
      <c r="J157" s="23">
        <f>ENTERO(I157/('Parámetros'!$B$10*(1+'Parámetros'!$B$13)^((154-1)/12)))</f>
        <v/>
      </c>
      <c r="K157" s="23">
        <f>J157*'Parámetros'!$B$12</f>
        <v/>
      </c>
      <c r="L157" s="23">
        <f>MAX(0,C157-K157)</f>
        <v/>
      </c>
      <c r="M157" s="25">
        <f>K157*('Parámetros'!$B$26*(1+'Parámetros'!$B$27)^((154-1)/12))</f>
        <v/>
      </c>
      <c r="N157" s="25">
        <f>N156+M157</f>
        <v/>
      </c>
      <c r="O157" s="25">
        <f>IF(154&lt;='Parámetros'!$B$19,0,G157*'Parámetros'!$B$17/12)</f>
        <v/>
      </c>
      <c r="P157" s="26">
        <f>D157+M157-O157</f>
        <v/>
      </c>
      <c r="Q157" s="26">
        <f>Q156+P157</f>
        <v/>
      </c>
    </row>
    <row r="158">
      <c r="A158" s="19" t="n">
        <v>155</v>
      </c>
      <c r="B158" s="19">
        <f>INT((155-1)/12)+1</f>
        <v/>
      </c>
      <c r="C158" s="20">
        <f>REDONDEAR(C157*(1-'Parámetros'!$B$7)^(1/12),0)</f>
        <v/>
      </c>
      <c r="D158" s="21">
        <f>C158*'Parámetros'!$B$6</f>
        <v/>
      </c>
      <c r="E158" s="21">
        <f>E157+D158</f>
        <v/>
      </c>
      <c r="F158" s="21">
        <f>MAX(0, MIN('Parámetros'!$B$15-G157, D158*'Parámetros'!$B$16))</f>
        <v/>
      </c>
      <c r="G158" s="21">
        <f>G157+F158</f>
        <v/>
      </c>
      <c r="H158" s="21">
        <f>H157+IF(J158&gt;J157,(J158-J157)*('Parámetros'!$B$12*'Parámetros'!$B$23*'Parámetros'!$B$21*'Parámetros'!$B$22*'Parámetros'!$B$24),0)</f>
        <v/>
      </c>
      <c r="I158" s="22">
        <f>E158+G158+H158</f>
        <v/>
      </c>
      <c r="J158" s="19">
        <f>ENTERO(I158/('Parámetros'!$B$10*(1+'Parámetros'!$B$13)^((155-1)/12)))</f>
        <v/>
      </c>
      <c r="K158" s="19">
        <f>J158*'Parámetros'!$B$12</f>
        <v/>
      </c>
      <c r="L158" s="19">
        <f>MAX(0,C158-K158)</f>
        <v/>
      </c>
      <c r="M158" s="21">
        <f>K158*('Parámetros'!$B$26*(1+'Parámetros'!$B$27)^((155-1)/12))</f>
        <v/>
      </c>
      <c r="N158" s="21">
        <f>N157+M158</f>
        <v/>
      </c>
      <c r="O158" s="21">
        <f>IF(155&lt;='Parámetros'!$B$19,0,G158*'Parámetros'!$B$17/12)</f>
        <v/>
      </c>
      <c r="P158" s="22">
        <f>D158+M158-O158</f>
        <v/>
      </c>
      <c r="Q158" s="22">
        <f>Q157+P158</f>
        <v/>
      </c>
    </row>
    <row r="159">
      <c r="A159" s="23" t="n">
        <v>156</v>
      </c>
      <c r="B159" s="23">
        <f>INT((156-1)/12)+1</f>
        <v/>
      </c>
      <c r="C159" s="24">
        <f>REDONDEAR(C158*(1-'Parámetros'!$B$7)^(1/12),0)</f>
        <v/>
      </c>
      <c r="D159" s="25">
        <f>C159*'Parámetros'!$B$6</f>
        <v/>
      </c>
      <c r="E159" s="25">
        <f>E158+D159</f>
        <v/>
      </c>
      <c r="F159" s="25">
        <f>MAX(0, MIN('Parámetros'!$B$15-G158, D159*'Parámetros'!$B$16))</f>
        <v/>
      </c>
      <c r="G159" s="25">
        <f>G158+F159</f>
        <v/>
      </c>
      <c r="H159" s="25">
        <f>H158+IF(J159&gt;J158,(J159-J158)*('Parámetros'!$B$12*'Parámetros'!$B$23*'Parámetros'!$B$21*'Parámetros'!$B$22*'Parámetros'!$B$24),0)</f>
        <v/>
      </c>
      <c r="I159" s="26">
        <f>E159+G159+H159</f>
        <v/>
      </c>
      <c r="J159" s="23">
        <f>ENTERO(I159/('Parámetros'!$B$10*(1+'Parámetros'!$B$13)^((156-1)/12)))</f>
        <v/>
      </c>
      <c r="K159" s="23">
        <f>J159*'Parámetros'!$B$12</f>
        <v/>
      </c>
      <c r="L159" s="23">
        <f>MAX(0,C159-K159)</f>
        <v/>
      </c>
      <c r="M159" s="25">
        <f>K159*('Parámetros'!$B$26*(1+'Parámetros'!$B$27)^((156-1)/12))</f>
        <v/>
      </c>
      <c r="N159" s="25">
        <f>N158+M159</f>
        <v/>
      </c>
      <c r="O159" s="25">
        <f>IF(156&lt;='Parámetros'!$B$19,0,G159*'Parámetros'!$B$17/12)</f>
        <v/>
      </c>
      <c r="P159" s="26">
        <f>D159+M159-O159</f>
        <v/>
      </c>
      <c r="Q159" s="26">
        <f>Q158+P159</f>
        <v/>
      </c>
    </row>
    <row r="160">
      <c r="A160" s="19" t="n">
        <v>157</v>
      </c>
      <c r="B160" s="19">
        <f>INT((157-1)/12)+1</f>
        <v/>
      </c>
      <c r="C160" s="20">
        <f>REDONDEAR(C159*(1-'Parámetros'!$B$7)^(1/12),0)</f>
        <v/>
      </c>
      <c r="D160" s="21">
        <f>C160*'Parámetros'!$B$6</f>
        <v/>
      </c>
      <c r="E160" s="21">
        <f>E159+D160</f>
        <v/>
      </c>
      <c r="F160" s="21">
        <f>MAX(0, MIN('Parámetros'!$B$15-G159, D160*'Parámetros'!$B$16))</f>
        <v/>
      </c>
      <c r="G160" s="21">
        <f>G159+F160</f>
        <v/>
      </c>
      <c r="H160" s="21">
        <f>H159+IF(J160&gt;J159,(J160-J159)*('Parámetros'!$B$12*'Parámetros'!$B$23*'Parámetros'!$B$21*'Parámetros'!$B$22*'Parámetros'!$B$24),0)</f>
        <v/>
      </c>
      <c r="I160" s="22">
        <f>E160+G160+H160</f>
        <v/>
      </c>
      <c r="J160" s="19">
        <f>ENTERO(I160/('Parámetros'!$B$10*(1+'Parámetros'!$B$13)^((157-1)/12)))</f>
        <v/>
      </c>
      <c r="K160" s="19">
        <f>J160*'Parámetros'!$B$12</f>
        <v/>
      </c>
      <c r="L160" s="19">
        <f>MAX(0,C160-K160)</f>
        <v/>
      </c>
      <c r="M160" s="21">
        <f>K160*('Parámetros'!$B$26*(1+'Parámetros'!$B$27)^((157-1)/12))</f>
        <v/>
      </c>
      <c r="N160" s="21">
        <f>N159+M160</f>
        <v/>
      </c>
      <c r="O160" s="21">
        <f>IF(157&lt;='Parámetros'!$B$19,0,G160*'Parámetros'!$B$17/12)</f>
        <v/>
      </c>
      <c r="P160" s="22">
        <f>D160+M160-O160</f>
        <v/>
      </c>
      <c r="Q160" s="22">
        <f>Q159+P160</f>
        <v/>
      </c>
    </row>
    <row r="161">
      <c r="A161" s="23" t="n">
        <v>158</v>
      </c>
      <c r="B161" s="23">
        <f>INT((158-1)/12)+1</f>
        <v/>
      </c>
      <c r="C161" s="24">
        <f>REDONDEAR(C160*(1-'Parámetros'!$B$7)^(1/12),0)</f>
        <v/>
      </c>
      <c r="D161" s="25">
        <f>C161*'Parámetros'!$B$6</f>
        <v/>
      </c>
      <c r="E161" s="25">
        <f>E160+D161</f>
        <v/>
      </c>
      <c r="F161" s="25">
        <f>MAX(0, MIN('Parámetros'!$B$15-G160, D161*'Parámetros'!$B$16))</f>
        <v/>
      </c>
      <c r="G161" s="25">
        <f>G160+F161</f>
        <v/>
      </c>
      <c r="H161" s="25">
        <f>H160+IF(J161&gt;J160,(J161-J160)*('Parámetros'!$B$12*'Parámetros'!$B$23*'Parámetros'!$B$21*'Parámetros'!$B$22*'Parámetros'!$B$24),0)</f>
        <v/>
      </c>
      <c r="I161" s="26">
        <f>E161+G161+H161</f>
        <v/>
      </c>
      <c r="J161" s="23">
        <f>ENTERO(I161/('Parámetros'!$B$10*(1+'Parámetros'!$B$13)^((158-1)/12)))</f>
        <v/>
      </c>
      <c r="K161" s="23">
        <f>J161*'Parámetros'!$B$12</f>
        <v/>
      </c>
      <c r="L161" s="23">
        <f>MAX(0,C161-K161)</f>
        <v/>
      </c>
      <c r="M161" s="25">
        <f>K161*('Parámetros'!$B$26*(1+'Parámetros'!$B$27)^((158-1)/12))</f>
        <v/>
      </c>
      <c r="N161" s="25">
        <f>N160+M161</f>
        <v/>
      </c>
      <c r="O161" s="25">
        <f>IF(158&lt;='Parámetros'!$B$19,0,G161*'Parámetros'!$B$17/12)</f>
        <v/>
      </c>
      <c r="P161" s="26">
        <f>D161+M161-O161</f>
        <v/>
      </c>
      <c r="Q161" s="26">
        <f>Q160+P161</f>
        <v/>
      </c>
    </row>
    <row r="162">
      <c r="A162" s="19" t="n">
        <v>159</v>
      </c>
      <c r="B162" s="19">
        <f>INT((159-1)/12)+1</f>
        <v/>
      </c>
      <c r="C162" s="20">
        <f>REDONDEAR(C161*(1-'Parámetros'!$B$7)^(1/12),0)</f>
        <v/>
      </c>
      <c r="D162" s="21">
        <f>C162*'Parámetros'!$B$6</f>
        <v/>
      </c>
      <c r="E162" s="21">
        <f>E161+D162</f>
        <v/>
      </c>
      <c r="F162" s="21">
        <f>MAX(0, MIN('Parámetros'!$B$15-G161, D162*'Parámetros'!$B$16))</f>
        <v/>
      </c>
      <c r="G162" s="21">
        <f>G161+F162</f>
        <v/>
      </c>
      <c r="H162" s="21">
        <f>H161+IF(J162&gt;J161,(J162-J161)*('Parámetros'!$B$12*'Parámetros'!$B$23*'Parámetros'!$B$21*'Parámetros'!$B$22*'Parámetros'!$B$24),0)</f>
        <v/>
      </c>
      <c r="I162" s="22">
        <f>E162+G162+H162</f>
        <v/>
      </c>
      <c r="J162" s="19">
        <f>ENTERO(I162/('Parámetros'!$B$10*(1+'Parámetros'!$B$13)^((159-1)/12)))</f>
        <v/>
      </c>
      <c r="K162" s="19">
        <f>J162*'Parámetros'!$B$12</f>
        <v/>
      </c>
      <c r="L162" s="19">
        <f>MAX(0,C162-K162)</f>
        <v/>
      </c>
      <c r="M162" s="21">
        <f>K162*('Parámetros'!$B$26*(1+'Parámetros'!$B$27)^((159-1)/12))</f>
        <v/>
      </c>
      <c r="N162" s="21">
        <f>N161+M162</f>
        <v/>
      </c>
      <c r="O162" s="21">
        <f>IF(159&lt;='Parámetros'!$B$19,0,G162*'Parámetros'!$B$17/12)</f>
        <v/>
      </c>
      <c r="P162" s="22">
        <f>D162+M162-O162</f>
        <v/>
      </c>
      <c r="Q162" s="22">
        <f>Q161+P162</f>
        <v/>
      </c>
    </row>
    <row r="163">
      <c r="A163" s="23" t="n">
        <v>160</v>
      </c>
      <c r="B163" s="23">
        <f>INT((160-1)/12)+1</f>
        <v/>
      </c>
      <c r="C163" s="24">
        <f>REDONDEAR(C162*(1-'Parámetros'!$B$7)^(1/12),0)</f>
        <v/>
      </c>
      <c r="D163" s="25">
        <f>C163*'Parámetros'!$B$6</f>
        <v/>
      </c>
      <c r="E163" s="25">
        <f>E162+D163</f>
        <v/>
      </c>
      <c r="F163" s="25">
        <f>MAX(0, MIN('Parámetros'!$B$15-G162, D163*'Parámetros'!$B$16))</f>
        <v/>
      </c>
      <c r="G163" s="25">
        <f>G162+F163</f>
        <v/>
      </c>
      <c r="H163" s="25">
        <f>H162+IF(J163&gt;J162,(J163-J162)*('Parámetros'!$B$12*'Parámetros'!$B$23*'Parámetros'!$B$21*'Parámetros'!$B$22*'Parámetros'!$B$24),0)</f>
        <v/>
      </c>
      <c r="I163" s="26">
        <f>E163+G163+H163</f>
        <v/>
      </c>
      <c r="J163" s="23">
        <f>ENTERO(I163/('Parámetros'!$B$10*(1+'Parámetros'!$B$13)^((160-1)/12)))</f>
        <v/>
      </c>
      <c r="K163" s="23">
        <f>J163*'Parámetros'!$B$12</f>
        <v/>
      </c>
      <c r="L163" s="23">
        <f>MAX(0,C163-K163)</f>
        <v/>
      </c>
      <c r="M163" s="25">
        <f>K163*('Parámetros'!$B$26*(1+'Parámetros'!$B$27)^((160-1)/12))</f>
        <v/>
      </c>
      <c r="N163" s="25">
        <f>N162+M163</f>
        <v/>
      </c>
      <c r="O163" s="25">
        <f>IF(160&lt;='Parámetros'!$B$19,0,G163*'Parámetros'!$B$17/12)</f>
        <v/>
      </c>
      <c r="P163" s="26">
        <f>D163+M163-O163</f>
        <v/>
      </c>
      <c r="Q163" s="26">
        <f>Q162+P163</f>
        <v/>
      </c>
    </row>
    <row r="164">
      <c r="A164" s="19" t="n">
        <v>161</v>
      </c>
      <c r="B164" s="19">
        <f>INT((161-1)/12)+1</f>
        <v/>
      </c>
      <c r="C164" s="20">
        <f>REDONDEAR(C163*(1-'Parámetros'!$B$7)^(1/12),0)</f>
        <v/>
      </c>
      <c r="D164" s="21">
        <f>C164*'Parámetros'!$B$6</f>
        <v/>
      </c>
      <c r="E164" s="21">
        <f>E163+D164</f>
        <v/>
      </c>
      <c r="F164" s="21">
        <f>MAX(0, MIN('Parámetros'!$B$15-G163, D164*'Parámetros'!$B$16))</f>
        <v/>
      </c>
      <c r="G164" s="21">
        <f>G163+F164</f>
        <v/>
      </c>
      <c r="H164" s="21">
        <f>H163+IF(J164&gt;J163,(J164-J163)*('Parámetros'!$B$12*'Parámetros'!$B$23*'Parámetros'!$B$21*'Parámetros'!$B$22*'Parámetros'!$B$24),0)</f>
        <v/>
      </c>
      <c r="I164" s="22">
        <f>E164+G164+H164</f>
        <v/>
      </c>
      <c r="J164" s="19">
        <f>ENTERO(I164/('Parámetros'!$B$10*(1+'Parámetros'!$B$13)^((161-1)/12)))</f>
        <v/>
      </c>
      <c r="K164" s="19">
        <f>J164*'Parámetros'!$B$12</f>
        <v/>
      </c>
      <c r="L164" s="19">
        <f>MAX(0,C164-K164)</f>
        <v/>
      </c>
      <c r="M164" s="21">
        <f>K164*('Parámetros'!$B$26*(1+'Parámetros'!$B$27)^((161-1)/12))</f>
        <v/>
      </c>
      <c r="N164" s="21">
        <f>N163+M164</f>
        <v/>
      </c>
      <c r="O164" s="21">
        <f>IF(161&lt;='Parámetros'!$B$19,0,G164*'Parámetros'!$B$17/12)</f>
        <v/>
      </c>
      <c r="P164" s="22">
        <f>D164+M164-O164</f>
        <v/>
      </c>
      <c r="Q164" s="22">
        <f>Q163+P164</f>
        <v/>
      </c>
    </row>
    <row r="165">
      <c r="A165" s="23" t="n">
        <v>162</v>
      </c>
      <c r="B165" s="23">
        <f>INT((162-1)/12)+1</f>
        <v/>
      </c>
      <c r="C165" s="24">
        <f>REDONDEAR(C164*(1-'Parámetros'!$B$7)^(1/12),0)</f>
        <v/>
      </c>
      <c r="D165" s="25">
        <f>C165*'Parámetros'!$B$6</f>
        <v/>
      </c>
      <c r="E165" s="25">
        <f>E164+D165</f>
        <v/>
      </c>
      <c r="F165" s="25">
        <f>MAX(0, MIN('Parámetros'!$B$15-G164, D165*'Parámetros'!$B$16))</f>
        <v/>
      </c>
      <c r="G165" s="25">
        <f>G164+F165</f>
        <v/>
      </c>
      <c r="H165" s="25">
        <f>H164+IF(J165&gt;J164,(J165-J164)*('Parámetros'!$B$12*'Parámetros'!$B$23*'Parámetros'!$B$21*'Parámetros'!$B$22*'Parámetros'!$B$24),0)</f>
        <v/>
      </c>
      <c r="I165" s="26">
        <f>E165+G165+H165</f>
        <v/>
      </c>
      <c r="J165" s="23">
        <f>ENTERO(I165/('Parámetros'!$B$10*(1+'Parámetros'!$B$13)^((162-1)/12)))</f>
        <v/>
      </c>
      <c r="K165" s="23">
        <f>J165*'Parámetros'!$B$12</f>
        <v/>
      </c>
      <c r="L165" s="23">
        <f>MAX(0,C165-K165)</f>
        <v/>
      </c>
      <c r="M165" s="25">
        <f>K165*('Parámetros'!$B$26*(1+'Parámetros'!$B$27)^((162-1)/12))</f>
        <v/>
      </c>
      <c r="N165" s="25">
        <f>N164+M165</f>
        <v/>
      </c>
      <c r="O165" s="25">
        <f>IF(162&lt;='Parámetros'!$B$19,0,G165*'Parámetros'!$B$17/12)</f>
        <v/>
      </c>
      <c r="P165" s="26">
        <f>D165+M165-O165</f>
        <v/>
      </c>
      <c r="Q165" s="26">
        <f>Q164+P165</f>
        <v/>
      </c>
    </row>
    <row r="166">
      <c r="A166" s="19" t="n">
        <v>163</v>
      </c>
      <c r="B166" s="19">
        <f>INT((163-1)/12)+1</f>
        <v/>
      </c>
      <c r="C166" s="20">
        <f>REDONDEAR(C165*(1-'Parámetros'!$B$7)^(1/12),0)</f>
        <v/>
      </c>
      <c r="D166" s="21">
        <f>C166*'Parámetros'!$B$6</f>
        <v/>
      </c>
      <c r="E166" s="21">
        <f>E165+D166</f>
        <v/>
      </c>
      <c r="F166" s="21">
        <f>MAX(0, MIN('Parámetros'!$B$15-G165, D166*'Parámetros'!$B$16))</f>
        <v/>
      </c>
      <c r="G166" s="21">
        <f>G165+F166</f>
        <v/>
      </c>
      <c r="H166" s="21">
        <f>H165+IF(J166&gt;J165,(J166-J165)*('Parámetros'!$B$12*'Parámetros'!$B$23*'Parámetros'!$B$21*'Parámetros'!$B$22*'Parámetros'!$B$24),0)</f>
        <v/>
      </c>
      <c r="I166" s="22">
        <f>E166+G166+H166</f>
        <v/>
      </c>
      <c r="J166" s="19">
        <f>ENTERO(I166/('Parámetros'!$B$10*(1+'Parámetros'!$B$13)^((163-1)/12)))</f>
        <v/>
      </c>
      <c r="K166" s="19">
        <f>J166*'Parámetros'!$B$12</f>
        <v/>
      </c>
      <c r="L166" s="19">
        <f>MAX(0,C166-K166)</f>
        <v/>
      </c>
      <c r="M166" s="21">
        <f>K166*('Parámetros'!$B$26*(1+'Parámetros'!$B$27)^((163-1)/12))</f>
        <v/>
      </c>
      <c r="N166" s="21">
        <f>N165+M166</f>
        <v/>
      </c>
      <c r="O166" s="21">
        <f>IF(163&lt;='Parámetros'!$B$19,0,G166*'Parámetros'!$B$17/12)</f>
        <v/>
      </c>
      <c r="P166" s="22">
        <f>D166+M166-O166</f>
        <v/>
      </c>
      <c r="Q166" s="22">
        <f>Q165+P166</f>
        <v/>
      </c>
    </row>
    <row r="167">
      <c r="A167" s="23" t="n">
        <v>164</v>
      </c>
      <c r="B167" s="23">
        <f>INT((164-1)/12)+1</f>
        <v/>
      </c>
      <c r="C167" s="24">
        <f>REDONDEAR(C166*(1-'Parámetros'!$B$7)^(1/12),0)</f>
        <v/>
      </c>
      <c r="D167" s="25">
        <f>C167*'Parámetros'!$B$6</f>
        <v/>
      </c>
      <c r="E167" s="25">
        <f>E166+D167</f>
        <v/>
      </c>
      <c r="F167" s="25">
        <f>MAX(0, MIN('Parámetros'!$B$15-G166, D167*'Parámetros'!$B$16))</f>
        <v/>
      </c>
      <c r="G167" s="25">
        <f>G166+F167</f>
        <v/>
      </c>
      <c r="H167" s="25">
        <f>H166+IF(J167&gt;J166,(J167-J166)*('Parámetros'!$B$12*'Parámetros'!$B$23*'Parámetros'!$B$21*'Parámetros'!$B$22*'Parámetros'!$B$24),0)</f>
        <v/>
      </c>
      <c r="I167" s="26">
        <f>E167+G167+H167</f>
        <v/>
      </c>
      <c r="J167" s="23">
        <f>ENTERO(I167/('Parámetros'!$B$10*(1+'Parámetros'!$B$13)^((164-1)/12)))</f>
        <v/>
      </c>
      <c r="K167" s="23">
        <f>J167*'Parámetros'!$B$12</f>
        <v/>
      </c>
      <c r="L167" s="23">
        <f>MAX(0,C167-K167)</f>
        <v/>
      </c>
      <c r="M167" s="25">
        <f>K167*('Parámetros'!$B$26*(1+'Parámetros'!$B$27)^((164-1)/12))</f>
        <v/>
      </c>
      <c r="N167" s="25">
        <f>N166+M167</f>
        <v/>
      </c>
      <c r="O167" s="25">
        <f>IF(164&lt;='Parámetros'!$B$19,0,G167*'Parámetros'!$B$17/12)</f>
        <v/>
      </c>
      <c r="P167" s="26">
        <f>D167+M167-O167</f>
        <v/>
      </c>
      <c r="Q167" s="26">
        <f>Q166+P167</f>
        <v/>
      </c>
    </row>
    <row r="168">
      <c r="A168" s="19" t="n">
        <v>165</v>
      </c>
      <c r="B168" s="19">
        <f>INT((165-1)/12)+1</f>
        <v/>
      </c>
      <c r="C168" s="20">
        <f>REDONDEAR(C167*(1-'Parámetros'!$B$7)^(1/12),0)</f>
        <v/>
      </c>
      <c r="D168" s="21">
        <f>C168*'Parámetros'!$B$6</f>
        <v/>
      </c>
      <c r="E168" s="21">
        <f>E167+D168</f>
        <v/>
      </c>
      <c r="F168" s="21">
        <f>MAX(0, MIN('Parámetros'!$B$15-G167, D168*'Parámetros'!$B$16))</f>
        <v/>
      </c>
      <c r="G168" s="21">
        <f>G167+F168</f>
        <v/>
      </c>
      <c r="H168" s="21">
        <f>H167+IF(J168&gt;J167,(J168-J167)*('Parámetros'!$B$12*'Parámetros'!$B$23*'Parámetros'!$B$21*'Parámetros'!$B$22*'Parámetros'!$B$24),0)</f>
        <v/>
      </c>
      <c r="I168" s="22">
        <f>E168+G168+H168</f>
        <v/>
      </c>
      <c r="J168" s="19">
        <f>ENTERO(I168/('Parámetros'!$B$10*(1+'Parámetros'!$B$13)^((165-1)/12)))</f>
        <v/>
      </c>
      <c r="K168" s="19">
        <f>J168*'Parámetros'!$B$12</f>
        <v/>
      </c>
      <c r="L168" s="19">
        <f>MAX(0,C168-K168)</f>
        <v/>
      </c>
      <c r="M168" s="21">
        <f>K168*('Parámetros'!$B$26*(1+'Parámetros'!$B$27)^((165-1)/12))</f>
        <v/>
      </c>
      <c r="N168" s="21">
        <f>N167+M168</f>
        <v/>
      </c>
      <c r="O168" s="21">
        <f>IF(165&lt;='Parámetros'!$B$19,0,G168*'Parámetros'!$B$17/12)</f>
        <v/>
      </c>
      <c r="P168" s="22">
        <f>D168+M168-O168</f>
        <v/>
      </c>
      <c r="Q168" s="22">
        <f>Q167+P168</f>
        <v/>
      </c>
    </row>
    <row r="169">
      <c r="A169" s="23" t="n">
        <v>166</v>
      </c>
      <c r="B169" s="23">
        <f>INT((166-1)/12)+1</f>
        <v/>
      </c>
      <c r="C169" s="24">
        <f>REDONDEAR(C168*(1-'Parámetros'!$B$7)^(1/12),0)</f>
        <v/>
      </c>
      <c r="D169" s="25">
        <f>C169*'Parámetros'!$B$6</f>
        <v/>
      </c>
      <c r="E169" s="25">
        <f>E168+D169</f>
        <v/>
      </c>
      <c r="F169" s="25">
        <f>MAX(0, MIN('Parámetros'!$B$15-G168, D169*'Parámetros'!$B$16))</f>
        <v/>
      </c>
      <c r="G169" s="25">
        <f>G168+F169</f>
        <v/>
      </c>
      <c r="H169" s="25">
        <f>H168+IF(J169&gt;J168,(J169-J168)*('Parámetros'!$B$12*'Parámetros'!$B$23*'Parámetros'!$B$21*'Parámetros'!$B$22*'Parámetros'!$B$24),0)</f>
        <v/>
      </c>
      <c r="I169" s="26">
        <f>E169+G169+H169</f>
        <v/>
      </c>
      <c r="J169" s="23">
        <f>ENTERO(I169/('Parámetros'!$B$10*(1+'Parámetros'!$B$13)^((166-1)/12)))</f>
        <v/>
      </c>
      <c r="K169" s="23">
        <f>J169*'Parámetros'!$B$12</f>
        <v/>
      </c>
      <c r="L169" s="23">
        <f>MAX(0,C169-K169)</f>
        <v/>
      </c>
      <c r="M169" s="25">
        <f>K169*('Parámetros'!$B$26*(1+'Parámetros'!$B$27)^((166-1)/12))</f>
        <v/>
      </c>
      <c r="N169" s="25">
        <f>N168+M169</f>
        <v/>
      </c>
      <c r="O169" s="25">
        <f>IF(166&lt;='Parámetros'!$B$19,0,G169*'Parámetros'!$B$17/12)</f>
        <v/>
      </c>
      <c r="P169" s="26">
        <f>D169+M169-O169</f>
        <v/>
      </c>
      <c r="Q169" s="26">
        <f>Q168+P169</f>
        <v/>
      </c>
    </row>
    <row r="170">
      <c r="A170" s="19" t="n">
        <v>167</v>
      </c>
      <c r="B170" s="19">
        <f>INT((167-1)/12)+1</f>
        <v/>
      </c>
      <c r="C170" s="20">
        <f>REDONDEAR(C169*(1-'Parámetros'!$B$7)^(1/12),0)</f>
        <v/>
      </c>
      <c r="D170" s="21">
        <f>C170*'Parámetros'!$B$6</f>
        <v/>
      </c>
      <c r="E170" s="21">
        <f>E169+D170</f>
        <v/>
      </c>
      <c r="F170" s="21">
        <f>MAX(0, MIN('Parámetros'!$B$15-G169, D170*'Parámetros'!$B$16))</f>
        <v/>
      </c>
      <c r="G170" s="21">
        <f>G169+F170</f>
        <v/>
      </c>
      <c r="H170" s="21">
        <f>H169+IF(J170&gt;J169,(J170-J169)*('Parámetros'!$B$12*'Parámetros'!$B$23*'Parámetros'!$B$21*'Parámetros'!$B$22*'Parámetros'!$B$24),0)</f>
        <v/>
      </c>
      <c r="I170" s="22">
        <f>E170+G170+H170</f>
        <v/>
      </c>
      <c r="J170" s="19">
        <f>ENTERO(I170/('Parámetros'!$B$10*(1+'Parámetros'!$B$13)^((167-1)/12)))</f>
        <v/>
      </c>
      <c r="K170" s="19">
        <f>J170*'Parámetros'!$B$12</f>
        <v/>
      </c>
      <c r="L170" s="19">
        <f>MAX(0,C170-K170)</f>
        <v/>
      </c>
      <c r="M170" s="21">
        <f>K170*('Parámetros'!$B$26*(1+'Parámetros'!$B$27)^((167-1)/12))</f>
        <v/>
      </c>
      <c r="N170" s="21">
        <f>N169+M170</f>
        <v/>
      </c>
      <c r="O170" s="21">
        <f>IF(167&lt;='Parámetros'!$B$19,0,G170*'Parámetros'!$B$17/12)</f>
        <v/>
      </c>
      <c r="P170" s="22">
        <f>D170+M170-O170</f>
        <v/>
      </c>
      <c r="Q170" s="22">
        <f>Q169+P170</f>
        <v/>
      </c>
    </row>
    <row r="171">
      <c r="A171" s="23" t="n">
        <v>168</v>
      </c>
      <c r="B171" s="23">
        <f>INT((168-1)/12)+1</f>
        <v/>
      </c>
      <c r="C171" s="24">
        <f>REDONDEAR(C170*(1-'Parámetros'!$B$7)^(1/12),0)</f>
        <v/>
      </c>
      <c r="D171" s="25">
        <f>C171*'Parámetros'!$B$6</f>
        <v/>
      </c>
      <c r="E171" s="25">
        <f>E170+D171</f>
        <v/>
      </c>
      <c r="F171" s="25">
        <f>MAX(0, MIN('Parámetros'!$B$15-G170, D171*'Parámetros'!$B$16))</f>
        <v/>
      </c>
      <c r="G171" s="25">
        <f>G170+F171</f>
        <v/>
      </c>
      <c r="H171" s="25">
        <f>H170+IF(J171&gt;J170,(J171-J170)*('Parámetros'!$B$12*'Parámetros'!$B$23*'Parámetros'!$B$21*'Parámetros'!$B$22*'Parámetros'!$B$24),0)</f>
        <v/>
      </c>
      <c r="I171" s="26">
        <f>E171+G171+H171</f>
        <v/>
      </c>
      <c r="J171" s="23">
        <f>ENTERO(I171/('Parámetros'!$B$10*(1+'Parámetros'!$B$13)^((168-1)/12)))</f>
        <v/>
      </c>
      <c r="K171" s="23">
        <f>J171*'Parámetros'!$B$12</f>
        <v/>
      </c>
      <c r="L171" s="23">
        <f>MAX(0,C171-K171)</f>
        <v/>
      </c>
      <c r="M171" s="25">
        <f>K171*('Parámetros'!$B$26*(1+'Parámetros'!$B$27)^((168-1)/12))</f>
        <v/>
      </c>
      <c r="N171" s="25">
        <f>N170+M171</f>
        <v/>
      </c>
      <c r="O171" s="25">
        <f>IF(168&lt;='Parámetros'!$B$19,0,G171*'Parámetros'!$B$17/12)</f>
        <v/>
      </c>
      <c r="P171" s="26">
        <f>D171+M171-O171</f>
        <v/>
      </c>
      <c r="Q171" s="26">
        <f>Q170+P171</f>
        <v/>
      </c>
    </row>
    <row r="172">
      <c r="A172" s="19" t="n">
        <v>169</v>
      </c>
      <c r="B172" s="19">
        <f>INT((169-1)/12)+1</f>
        <v/>
      </c>
      <c r="C172" s="20">
        <f>REDONDEAR(C171*(1-'Parámetros'!$B$7)^(1/12),0)</f>
        <v/>
      </c>
      <c r="D172" s="21">
        <f>C172*'Parámetros'!$B$6</f>
        <v/>
      </c>
      <c r="E172" s="21">
        <f>E171+D172</f>
        <v/>
      </c>
      <c r="F172" s="21">
        <f>MAX(0, MIN('Parámetros'!$B$15-G171, D172*'Parámetros'!$B$16))</f>
        <v/>
      </c>
      <c r="G172" s="21">
        <f>G171+F172</f>
        <v/>
      </c>
      <c r="H172" s="21">
        <f>H171+IF(J172&gt;J171,(J172-J171)*('Parámetros'!$B$12*'Parámetros'!$B$23*'Parámetros'!$B$21*'Parámetros'!$B$22*'Parámetros'!$B$24),0)</f>
        <v/>
      </c>
      <c r="I172" s="22">
        <f>E172+G172+H172</f>
        <v/>
      </c>
      <c r="J172" s="19">
        <f>ENTERO(I172/('Parámetros'!$B$10*(1+'Parámetros'!$B$13)^((169-1)/12)))</f>
        <v/>
      </c>
      <c r="K172" s="19">
        <f>J172*'Parámetros'!$B$12</f>
        <v/>
      </c>
      <c r="L172" s="19">
        <f>MAX(0,C172-K172)</f>
        <v/>
      </c>
      <c r="M172" s="21">
        <f>K172*('Parámetros'!$B$26*(1+'Parámetros'!$B$27)^((169-1)/12))</f>
        <v/>
      </c>
      <c r="N172" s="21">
        <f>N171+M172</f>
        <v/>
      </c>
      <c r="O172" s="21">
        <f>IF(169&lt;='Parámetros'!$B$19,0,G172*'Parámetros'!$B$17/12)</f>
        <v/>
      </c>
      <c r="P172" s="22">
        <f>D172+M172-O172</f>
        <v/>
      </c>
      <c r="Q172" s="22">
        <f>Q171+P172</f>
        <v/>
      </c>
    </row>
    <row r="173">
      <c r="A173" s="23" t="n">
        <v>170</v>
      </c>
      <c r="B173" s="23">
        <f>INT((170-1)/12)+1</f>
        <v/>
      </c>
      <c r="C173" s="24">
        <f>REDONDEAR(C172*(1-'Parámetros'!$B$7)^(1/12),0)</f>
        <v/>
      </c>
      <c r="D173" s="25">
        <f>C173*'Parámetros'!$B$6</f>
        <v/>
      </c>
      <c r="E173" s="25">
        <f>E172+D173</f>
        <v/>
      </c>
      <c r="F173" s="25">
        <f>MAX(0, MIN('Parámetros'!$B$15-G172, D173*'Parámetros'!$B$16))</f>
        <v/>
      </c>
      <c r="G173" s="25">
        <f>G172+F173</f>
        <v/>
      </c>
      <c r="H173" s="25">
        <f>H172+IF(J173&gt;J172,(J173-J172)*('Parámetros'!$B$12*'Parámetros'!$B$23*'Parámetros'!$B$21*'Parámetros'!$B$22*'Parámetros'!$B$24),0)</f>
        <v/>
      </c>
      <c r="I173" s="26">
        <f>E173+G173+H173</f>
        <v/>
      </c>
      <c r="J173" s="23">
        <f>ENTERO(I173/('Parámetros'!$B$10*(1+'Parámetros'!$B$13)^((170-1)/12)))</f>
        <v/>
      </c>
      <c r="K173" s="23">
        <f>J173*'Parámetros'!$B$12</f>
        <v/>
      </c>
      <c r="L173" s="23">
        <f>MAX(0,C173-K173)</f>
        <v/>
      </c>
      <c r="M173" s="25">
        <f>K173*('Parámetros'!$B$26*(1+'Parámetros'!$B$27)^((170-1)/12))</f>
        <v/>
      </c>
      <c r="N173" s="25">
        <f>N172+M173</f>
        <v/>
      </c>
      <c r="O173" s="25">
        <f>IF(170&lt;='Parámetros'!$B$19,0,G173*'Parámetros'!$B$17/12)</f>
        <v/>
      </c>
      <c r="P173" s="26">
        <f>D173+M173-O173</f>
        <v/>
      </c>
      <c r="Q173" s="26">
        <f>Q172+P173</f>
        <v/>
      </c>
    </row>
    <row r="174">
      <c r="A174" s="19" t="n">
        <v>171</v>
      </c>
      <c r="B174" s="19">
        <f>INT((171-1)/12)+1</f>
        <v/>
      </c>
      <c r="C174" s="20">
        <f>REDONDEAR(C173*(1-'Parámetros'!$B$7)^(1/12),0)</f>
        <v/>
      </c>
      <c r="D174" s="21">
        <f>C174*'Parámetros'!$B$6</f>
        <v/>
      </c>
      <c r="E174" s="21">
        <f>E173+D174</f>
        <v/>
      </c>
      <c r="F174" s="21">
        <f>MAX(0, MIN('Parámetros'!$B$15-G173, D174*'Parámetros'!$B$16))</f>
        <v/>
      </c>
      <c r="G174" s="21">
        <f>G173+F174</f>
        <v/>
      </c>
      <c r="H174" s="21">
        <f>H173+IF(J174&gt;J173,(J174-J173)*('Parámetros'!$B$12*'Parámetros'!$B$23*'Parámetros'!$B$21*'Parámetros'!$B$22*'Parámetros'!$B$24),0)</f>
        <v/>
      </c>
      <c r="I174" s="22">
        <f>E174+G174+H174</f>
        <v/>
      </c>
      <c r="J174" s="19">
        <f>ENTERO(I174/('Parámetros'!$B$10*(1+'Parámetros'!$B$13)^((171-1)/12)))</f>
        <v/>
      </c>
      <c r="K174" s="19">
        <f>J174*'Parámetros'!$B$12</f>
        <v/>
      </c>
      <c r="L174" s="19">
        <f>MAX(0,C174-K174)</f>
        <v/>
      </c>
      <c r="M174" s="21">
        <f>K174*('Parámetros'!$B$26*(1+'Parámetros'!$B$27)^((171-1)/12))</f>
        <v/>
      </c>
      <c r="N174" s="21">
        <f>N173+M174</f>
        <v/>
      </c>
      <c r="O174" s="21">
        <f>IF(171&lt;='Parámetros'!$B$19,0,G174*'Parámetros'!$B$17/12)</f>
        <v/>
      </c>
      <c r="P174" s="22">
        <f>D174+M174-O174</f>
        <v/>
      </c>
      <c r="Q174" s="22">
        <f>Q173+P174</f>
        <v/>
      </c>
    </row>
    <row r="175">
      <c r="A175" s="23" t="n">
        <v>172</v>
      </c>
      <c r="B175" s="23">
        <f>INT((172-1)/12)+1</f>
        <v/>
      </c>
      <c r="C175" s="24">
        <f>REDONDEAR(C174*(1-'Parámetros'!$B$7)^(1/12),0)</f>
        <v/>
      </c>
      <c r="D175" s="25">
        <f>C175*'Parámetros'!$B$6</f>
        <v/>
      </c>
      <c r="E175" s="25">
        <f>E174+D175</f>
        <v/>
      </c>
      <c r="F175" s="25">
        <f>MAX(0, MIN('Parámetros'!$B$15-G174, D175*'Parámetros'!$B$16))</f>
        <v/>
      </c>
      <c r="G175" s="25">
        <f>G174+F175</f>
        <v/>
      </c>
      <c r="H175" s="25">
        <f>H174+IF(J175&gt;J174,(J175-J174)*('Parámetros'!$B$12*'Parámetros'!$B$23*'Parámetros'!$B$21*'Parámetros'!$B$22*'Parámetros'!$B$24),0)</f>
        <v/>
      </c>
      <c r="I175" s="26">
        <f>E175+G175+H175</f>
        <v/>
      </c>
      <c r="J175" s="23">
        <f>ENTERO(I175/('Parámetros'!$B$10*(1+'Parámetros'!$B$13)^((172-1)/12)))</f>
        <v/>
      </c>
      <c r="K175" s="23">
        <f>J175*'Parámetros'!$B$12</f>
        <v/>
      </c>
      <c r="L175" s="23">
        <f>MAX(0,C175-K175)</f>
        <v/>
      </c>
      <c r="M175" s="25">
        <f>K175*('Parámetros'!$B$26*(1+'Parámetros'!$B$27)^((172-1)/12))</f>
        <v/>
      </c>
      <c r="N175" s="25">
        <f>N174+M175</f>
        <v/>
      </c>
      <c r="O175" s="25">
        <f>IF(172&lt;='Parámetros'!$B$19,0,G175*'Parámetros'!$B$17/12)</f>
        <v/>
      </c>
      <c r="P175" s="26">
        <f>D175+M175-O175</f>
        <v/>
      </c>
      <c r="Q175" s="26">
        <f>Q174+P175</f>
        <v/>
      </c>
    </row>
    <row r="176">
      <c r="A176" s="19" t="n">
        <v>173</v>
      </c>
      <c r="B176" s="19">
        <f>INT((173-1)/12)+1</f>
        <v/>
      </c>
      <c r="C176" s="20">
        <f>REDONDEAR(C175*(1-'Parámetros'!$B$7)^(1/12),0)</f>
        <v/>
      </c>
      <c r="D176" s="21">
        <f>C176*'Parámetros'!$B$6</f>
        <v/>
      </c>
      <c r="E176" s="21">
        <f>E175+D176</f>
        <v/>
      </c>
      <c r="F176" s="21">
        <f>MAX(0, MIN('Parámetros'!$B$15-G175, D176*'Parámetros'!$B$16))</f>
        <v/>
      </c>
      <c r="G176" s="21">
        <f>G175+F176</f>
        <v/>
      </c>
      <c r="H176" s="21">
        <f>H175+IF(J176&gt;J175,(J176-J175)*('Parámetros'!$B$12*'Parámetros'!$B$23*'Parámetros'!$B$21*'Parámetros'!$B$22*'Parámetros'!$B$24),0)</f>
        <v/>
      </c>
      <c r="I176" s="22">
        <f>E176+G176+H176</f>
        <v/>
      </c>
      <c r="J176" s="19">
        <f>ENTERO(I176/('Parámetros'!$B$10*(1+'Parámetros'!$B$13)^((173-1)/12)))</f>
        <v/>
      </c>
      <c r="K176" s="19">
        <f>J176*'Parámetros'!$B$12</f>
        <v/>
      </c>
      <c r="L176" s="19">
        <f>MAX(0,C176-K176)</f>
        <v/>
      </c>
      <c r="M176" s="21">
        <f>K176*('Parámetros'!$B$26*(1+'Parámetros'!$B$27)^((173-1)/12))</f>
        <v/>
      </c>
      <c r="N176" s="21">
        <f>N175+M176</f>
        <v/>
      </c>
      <c r="O176" s="21">
        <f>IF(173&lt;='Parámetros'!$B$19,0,G176*'Parámetros'!$B$17/12)</f>
        <v/>
      </c>
      <c r="P176" s="22">
        <f>D176+M176-O176</f>
        <v/>
      </c>
      <c r="Q176" s="22">
        <f>Q175+P176</f>
        <v/>
      </c>
    </row>
    <row r="177">
      <c r="A177" s="23" t="n">
        <v>174</v>
      </c>
      <c r="B177" s="23">
        <f>INT((174-1)/12)+1</f>
        <v/>
      </c>
      <c r="C177" s="24">
        <f>REDONDEAR(C176*(1-'Parámetros'!$B$7)^(1/12),0)</f>
        <v/>
      </c>
      <c r="D177" s="25">
        <f>C177*'Parámetros'!$B$6</f>
        <v/>
      </c>
      <c r="E177" s="25">
        <f>E176+D177</f>
        <v/>
      </c>
      <c r="F177" s="25">
        <f>MAX(0, MIN('Parámetros'!$B$15-G176, D177*'Parámetros'!$B$16))</f>
        <v/>
      </c>
      <c r="G177" s="25">
        <f>G176+F177</f>
        <v/>
      </c>
      <c r="H177" s="25">
        <f>H176+IF(J177&gt;J176,(J177-J176)*('Parámetros'!$B$12*'Parámetros'!$B$23*'Parámetros'!$B$21*'Parámetros'!$B$22*'Parámetros'!$B$24),0)</f>
        <v/>
      </c>
      <c r="I177" s="26">
        <f>E177+G177+H177</f>
        <v/>
      </c>
      <c r="J177" s="23">
        <f>ENTERO(I177/('Parámetros'!$B$10*(1+'Parámetros'!$B$13)^((174-1)/12)))</f>
        <v/>
      </c>
      <c r="K177" s="23">
        <f>J177*'Parámetros'!$B$12</f>
        <v/>
      </c>
      <c r="L177" s="23">
        <f>MAX(0,C177-K177)</f>
        <v/>
      </c>
      <c r="M177" s="25">
        <f>K177*('Parámetros'!$B$26*(1+'Parámetros'!$B$27)^((174-1)/12))</f>
        <v/>
      </c>
      <c r="N177" s="25">
        <f>N176+M177</f>
        <v/>
      </c>
      <c r="O177" s="25">
        <f>IF(174&lt;='Parámetros'!$B$19,0,G177*'Parámetros'!$B$17/12)</f>
        <v/>
      </c>
      <c r="P177" s="26">
        <f>D177+M177-O177</f>
        <v/>
      </c>
      <c r="Q177" s="26">
        <f>Q176+P177</f>
        <v/>
      </c>
    </row>
    <row r="178">
      <c r="A178" s="19" t="n">
        <v>175</v>
      </c>
      <c r="B178" s="19">
        <f>INT((175-1)/12)+1</f>
        <v/>
      </c>
      <c r="C178" s="20">
        <f>REDONDEAR(C177*(1-'Parámetros'!$B$7)^(1/12),0)</f>
        <v/>
      </c>
      <c r="D178" s="21">
        <f>C178*'Parámetros'!$B$6</f>
        <v/>
      </c>
      <c r="E178" s="21">
        <f>E177+D178</f>
        <v/>
      </c>
      <c r="F178" s="21">
        <f>MAX(0, MIN('Parámetros'!$B$15-G177, D178*'Parámetros'!$B$16))</f>
        <v/>
      </c>
      <c r="G178" s="21">
        <f>G177+F178</f>
        <v/>
      </c>
      <c r="H178" s="21">
        <f>H177+IF(J178&gt;J177,(J178-J177)*('Parámetros'!$B$12*'Parámetros'!$B$23*'Parámetros'!$B$21*'Parámetros'!$B$22*'Parámetros'!$B$24),0)</f>
        <v/>
      </c>
      <c r="I178" s="22">
        <f>E178+G178+H178</f>
        <v/>
      </c>
      <c r="J178" s="19">
        <f>ENTERO(I178/('Parámetros'!$B$10*(1+'Parámetros'!$B$13)^((175-1)/12)))</f>
        <v/>
      </c>
      <c r="K178" s="19">
        <f>J178*'Parámetros'!$B$12</f>
        <v/>
      </c>
      <c r="L178" s="19">
        <f>MAX(0,C178-K178)</f>
        <v/>
      </c>
      <c r="M178" s="21">
        <f>K178*('Parámetros'!$B$26*(1+'Parámetros'!$B$27)^((175-1)/12))</f>
        <v/>
      </c>
      <c r="N178" s="21">
        <f>N177+M178</f>
        <v/>
      </c>
      <c r="O178" s="21">
        <f>IF(175&lt;='Parámetros'!$B$19,0,G178*'Parámetros'!$B$17/12)</f>
        <v/>
      </c>
      <c r="P178" s="22">
        <f>D178+M178-O178</f>
        <v/>
      </c>
      <c r="Q178" s="22">
        <f>Q177+P178</f>
        <v/>
      </c>
    </row>
    <row r="179">
      <c r="A179" s="23" t="n">
        <v>176</v>
      </c>
      <c r="B179" s="23">
        <f>INT((176-1)/12)+1</f>
        <v/>
      </c>
      <c r="C179" s="24">
        <f>REDONDEAR(C178*(1-'Parámetros'!$B$7)^(1/12),0)</f>
        <v/>
      </c>
      <c r="D179" s="25">
        <f>C179*'Parámetros'!$B$6</f>
        <v/>
      </c>
      <c r="E179" s="25">
        <f>E178+D179</f>
        <v/>
      </c>
      <c r="F179" s="25">
        <f>MAX(0, MIN('Parámetros'!$B$15-G178, D179*'Parámetros'!$B$16))</f>
        <v/>
      </c>
      <c r="G179" s="25">
        <f>G178+F179</f>
        <v/>
      </c>
      <c r="H179" s="25">
        <f>H178+IF(J179&gt;J178,(J179-J178)*('Parámetros'!$B$12*'Parámetros'!$B$23*'Parámetros'!$B$21*'Parámetros'!$B$22*'Parámetros'!$B$24),0)</f>
        <v/>
      </c>
      <c r="I179" s="26">
        <f>E179+G179+H179</f>
        <v/>
      </c>
      <c r="J179" s="23">
        <f>ENTERO(I179/('Parámetros'!$B$10*(1+'Parámetros'!$B$13)^((176-1)/12)))</f>
        <v/>
      </c>
      <c r="K179" s="23">
        <f>J179*'Parámetros'!$B$12</f>
        <v/>
      </c>
      <c r="L179" s="23">
        <f>MAX(0,C179-K179)</f>
        <v/>
      </c>
      <c r="M179" s="25">
        <f>K179*('Parámetros'!$B$26*(1+'Parámetros'!$B$27)^((176-1)/12))</f>
        <v/>
      </c>
      <c r="N179" s="25">
        <f>N178+M179</f>
        <v/>
      </c>
      <c r="O179" s="25">
        <f>IF(176&lt;='Parámetros'!$B$19,0,G179*'Parámetros'!$B$17/12)</f>
        <v/>
      </c>
      <c r="P179" s="26">
        <f>D179+M179-O179</f>
        <v/>
      </c>
      <c r="Q179" s="26">
        <f>Q178+P179</f>
        <v/>
      </c>
    </row>
    <row r="180">
      <c r="A180" s="19" t="n">
        <v>177</v>
      </c>
      <c r="B180" s="19">
        <f>INT((177-1)/12)+1</f>
        <v/>
      </c>
      <c r="C180" s="20">
        <f>REDONDEAR(C179*(1-'Parámetros'!$B$7)^(1/12),0)</f>
        <v/>
      </c>
      <c r="D180" s="21">
        <f>C180*'Parámetros'!$B$6</f>
        <v/>
      </c>
      <c r="E180" s="21">
        <f>E179+D180</f>
        <v/>
      </c>
      <c r="F180" s="21">
        <f>MAX(0, MIN('Parámetros'!$B$15-G179, D180*'Parámetros'!$B$16))</f>
        <v/>
      </c>
      <c r="G180" s="21">
        <f>G179+F180</f>
        <v/>
      </c>
      <c r="H180" s="21">
        <f>H179+IF(J180&gt;J179,(J180-J179)*('Parámetros'!$B$12*'Parámetros'!$B$23*'Parámetros'!$B$21*'Parámetros'!$B$22*'Parámetros'!$B$24),0)</f>
        <v/>
      </c>
      <c r="I180" s="22">
        <f>E180+G180+H180</f>
        <v/>
      </c>
      <c r="J180" s="19">
        <f>ENTERO(I180/('Parámetros'!$B$10*(1+'Parámetros'!$B$13)^((177-1)/12)))</f>
        <v/>
      </c>
      <c r="K180" s="19">
        <f>J180*'Parámetros'!$B$12</f>
        <v/>
      </c>
      <c r="L180" s="19">
        <f>MAX(0,C180-K180)</f>
        <v/>
      </c>
      <c r="M180" s="21">
        <f>K180*('Parámetros'!$B$26*(1+'Parámetros'!$B$27)^((177-1)/12))</f>
        <v/>
      </c>
      <c r="N180" s="21">
        <f>N179+M180</f>
        <v/>
      </c>
      <c r="O180" s="21">
        <f>IF(177&lt;='Parámetros'!$B$19,0,G180*'Parámetros'!$B$17/12)</f>
        <v/>
      </c>
      <c r="P180" s="22">
        <f>D180+M180-O180</f>
        <v/>
      </c>
      <c r="Q180" s="22">
        <f>Q179+P180</f>
        <v/>
      </c>
    </row>
    <row r="181">
      <c r="A181" s="23" t="n">
        <v>178</v>
      </c>
      <c r="B181" s="23">
        <f>INT((178-1)/12)+1</f>
        <v/>
      </c>
      <c r="C181" s="24">
        <f>REDONDEAR(C180*(1-'Parámetros'!$B$7)^(1/12),0)</f>
        <v/>
      </c>
      <c r="D181" s="25">
        <f>C181*'Parámetros'!$B$6</f>
        <v/>
      </c>
      <c r="E181" s="25">
        <f>E180+D181</f>
        <v/>
      </c>
      <c r="F181" s="25">
        <f>MAX(0, MIN('Parámetros'!$B$15-G180, D181*'Parámetros'!$B$16))</f>
        <v/>
      </c>
      <c r="G181" s="25">
        <f>G180+F181</f>
        <v/>
      </c>
      <c r="H181" s="25">
        <f>H180+IF(J181&gt;J180,(J181-J180)*('Parámetros'!$B$12*'Parámetros'!$B$23*'Parámetros'!$B$21*'Parámetros'!$B$22*'Parámetros'!$B$24),0)</f>
        <v/>
      </c>
      <c r="I181" s="26">
        <f>E181+G181+H181</f>
        <v/>
      </c>
      <c r="J181" s="23">
        <f>ENTERO(I181/('Parámetros'!$B$10*(1+'Parámetros'!$B$13)^((178-1)/12)))</f>
        <v/>
      </c>
      <c r="K181" s="23">
        <f>J181*'Parámetros'!$B$12</f>
        <v/>
      </c>
      <c r="L181" s="23">
        <f>MAX(0,C181-K181)</f>
        <v/>
      </c>
      <c r="M181" s="25">
        <f>K181*('Parámetros'!$B$26*(1+'Parámetros'!$B$27)^((178-1)/12))</f>
        <v/>
      </c>
      <c r="N181" s="25">
        <f>N180+M181</f>
        <v/>
      </c>
      <c r="O181" s="25">
        <f>IF(178&lt;='Parámetros'!$B$19,0,G181*'Parámetros'!$B$17/12)</f>
        <v/>
      </c>
      <c r="P181" s="26">
        <f>D181+M181-O181</f>
        <v/>
      </c>
      <c r="Q181" s="26">
        <f>Q180+P181</f>
        <v/>
      </c>
    </row>
    <row r="182">
      <c r="A182" s="19" t="n">
        <v>179</v>
      </c>
      <c r="B182" s="19">
        <f>INT((179-1)/12)+1</f>
        <v/>
      </c>
      <c r="C182" s="20">
        <f>REDONDEAR(C181*(1-'Parámetros'!$B$7)^(1/12),0)</f>
        <v/>
      </c>
      <c r="D182" s="21">
        <f>C182*'Parámetros'!$B$6</f>
        <v/>
      </c>
      <c r="E182" s="21">
        <f>E181+D182</f>
        <v/>
      </c>
      <c r="F182" s="21">
        <f>MAX(0, MIN('Parámetros'!$B$15-G181, D182*'Parámetros'!$B$16))</f>
        <v/>
      </c>
      <c r="G182" s="21">
        <f>G181+F182</f>
        <v/>
      </c>
      <c r="H182" s="21">
        <f>H181+IF(J182&gt;J181,(J182-J181)*('Parámetros'!$B$12*'Parámetros'!$B$23*'Parámetros'!$B$21*'Parámetros'!$B$22*'Parámetros'!$B$24),0)</f>
        <v/>
      </c>
      <c r="I182" s="22">
        <f>E182+G182+H182</f>
        <v/>
      </c>
      <c r="J182" s="19">
        <f>ENTERO(I182/('Parámetros'!$B$10*(1+'Parámetros'!$B$13)^((179-1)/12)))</f>
        <v/>
      </c>
      <c r="K182" s="19">
        <f>J182*'Parámetros'!$B$12</f>
        <v/>
      </c>
      <c r="L182" s="19">
        <f>MAX(0,C182-K182)</f>
        <v/>
      </c>
      <c r="M182" s="21">
        <f>K182*('Parámetros'!$B$26*(1+'Parámetros'!$B$27)^((179-1)/12))</f>
        <v/>
      </c>
      <c r="N182" s="21">
        <f>N181+M182</f>
        <v/>
      </c>
      <c r="O182" s="21">
        <f>IF(179&lt;='Parámetros'!$B$19,0,G182*'Parámetros'!$B$17/12)</f>
        <v/>
      </c>
      <c r="P182" s="22">
        <f>D182+M182-O182</f>
        <v/>
      </c>
      <c r="Q182" s="22">
        <f>Q181+P182</f>
        <v/>
      </c>
    </row>
    <row r="183">
      <c r="A183" s="23" t="n">
        <v>180</v>
      </c>
      <c r="B183" s="23">
        <f>INT((180-1)/12)+1</f>
        <v/>
      </c>
      <c r="C183" s="24">
        <f>REDONDEAR(C182*(1-'Parámetros'!$B$7)^(1/12),0)</f>
        <v/>
      </c>
      <c r="D183" s="25">
        <f>C183*'Parámetros'!$B$6</f>
        <v/>
      </c>
      <c r="E183" s="25">
        <f>E182+D183</f>
        <v/>
      </c>
      <c r="F183" s="25">
        <f>MAX(0, MIN('Parámetros'!$B$15-G182, D183*'Parámetros'!$B$16))</f>
        <v/>
      </c>
      <c r="G183" s="25">
        <f>G182+F183</f>
        <v/>
      </c>
      <c r="H183" s="25">
        <f>H182+IF(J183&gt;J182,(J183-J182)*('Parámetros'!$B$12*'Parámetros'!$B$23*'Parámetros'!$B$21*'Parámetros'!$B$22*'Parámetros'!$B$24),0)</f>
        <v/>
      </c>
      <c r="I183" s="26">
        <f>E183+G183+H183</f>
        <v/>
      </c>
      <c r="J183" s="23">
        <f>ENTERO(I183/('Parámetros'!$B$10*(1+'Parámetros'!$B$13)^((180-1)/12)))</f>
        <v/>
      </c>
      <c r="K183" s="23">
        <f>J183*'Parámetros'!$B$12</f>
        <v/>
      </c>
      <c r="L183" s="23">
        <f>MAX(0,C183-K183)</f>
        <v/>
      </c>
      <c r="M183" s="25">
        <f>K183*('Parámetros'!$B$26*(1+'Parámetros'!$B$27)^((180-1)/12))</f>
        <v/>
      </c>
      <c r="N183" s="25">
        <f>N182+M183</f>
        <v/>
      </c>
      <c r="O183" s="25">
        <f>IF(180&lt;='Parámetros'!$B$19,0,G183*'Parámetros'!$B$17/12)</f>
        <v/>
      </c>
      <c r="P183" s="26">
        <f>D183+M183-O183</f>
        <v/>
      </c>
      <c r="Q183" s="26">
        <f>Q182+P183</f>
        <v/>
      </c>
    </row>
  </sheetData>
  <autoFilter ref="A3:Q3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6" t="inlineStr">
        <is>
          <t>ANÁLISIS DE SENSIBILIDAD — Tablas Bidimensionales</t>
        </is>
      </c>
    </row>
    <row r="2" ht="18" customHeight="1">
      <c r="A2" s="27" t="inlineStr">
        <is>
          <t>Nota: Las tablas de sensibilidad muestran cálculos directos basados en las fórmulas del modelo. Cambiar los parámetros en la hoja 'Parámetros' actualiza todos los resultados.</t>
        </is>
      </c>
    </row>
    <row r="4" ht="22" customHeight="1">
      <c r="A4" s="28" t="inlineStr">
        <is>
          <t>TABLA 1 — Terrenos Adquiridos a 5 Años (mes 60)</t>
        </is>
      </c>
    </row>
    <row r="5" ht="20" customHeight="1">
      <c r="A5" s="29" t="inlineStr">
        <is>
          <t>Familias \ Cuota</t>
        </is>
      </c>
      <c r="B5" s="30" t="n">
        <v>20000</v>
      </c>
      <c r="C5" s="30" t="n">
        <v>25000</v>
      </c>
      <c r="D5" s="30" t="n">
        <v>30000</v>
      </c>
      <c r="E5" s="30" t="n">
        <v>35000</v>
      </c>
      <c r="F5" s="30" t="n">
        <v>40000</v>
      </c>
    </row>
    <row r="6" ht="18" customHeight="1">
      <c r="A6" s="31" t="n">
        <v>100</v>
      </c>
      <c r="B6" s="32">
        <f>LET(des_mes,(1-'Parámetros'!$B$7)^(1/12),acum_c1,20000*100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C6" s="32">
        <f>LET(des_mes,(1-'Parámetros'!$B$7)^(1/12),acum_c1,25000*100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D6" s="32">
        <f>LET(des_mes,(1-'Parámetros'!$B$7)^(1/12),acum_c1,30000*100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E6" s="32">
        <f>LET(des_mes,(1-'Parámetros'!$B$7)^(1/12),acum_c1,35000*100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F6" s="32">
        <f>LET(des_mes,(1-'Parámetros'!$B$7)^(1/12),acum_c1,40000*100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</row>
    <row r="7" ht="18" customHeight="1">
      <c r="A7" s="31" t="n">
        <v>200</v>
      </c>
      <c r="B7" s="32">
        <f>LET(des_mes,(1-'Parámetros'!$B$7)^(1/12),acum_c1,20000*200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C7" s="32">
        <f>LET(des_mes,(1-'Parámetros'!$B$7)^(1/12),acum_c1,25000*200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D7" s="32">
        <f>LET(des_mes,(1-'Parámetros'!$B$7)^(1/12),acum_c1,30000*200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E7" s="32">
        <f>LET(des_mes,(1-'Parámetros'!$B$7)^(1/12),acum_c1,35000*200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F7" s="32">
        <f>LET(des_mes,(1-'Parámetros'!$B$7)^(1/12),acum_c1,40000*200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</row>
    <row r="8" ht="18" customHeight="1">
      <c r="A8" s="31" t="n">
        <v>300</v>
      </c>
      <c r="B8" s="32">
        <f>LET(des_mes,(1-'Parámetros'!$B$7)^(1/12),acum_c1,20000*300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C8" s="32">
        <f>LET(des_mes,(1-'Parámetros'!$B$7)^(1/12),acum_c1,25000*300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D8" s="32">
        <f>LET(des_mes,(1-'Parámetros'!$B$7)^(1/12),acum_c1,30000*300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E8" s="32">
        <f>LET(des_mes,(1-'Parámetros'!$B$7)^(1/12),acum_c1,35000*300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F8" s="32">
        <f>LET(des_mes,(1-'Parámetros'!$B$7)^(1/12),acum_c1,40000*300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</row>
    <row r="9" ht="18" customHeight="1">
      <c r="A9" s="31" t="n">
        <v>500</v>
      </c>
      <c r="B9" s="32">
        <f>LET(des_mes,(1-'Parámetros'!$B$7)^(1/12),acum_c1,20000*500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C9" s="32">
        <f>LET(des_mes,(1-'Parámetros'!$B$7)^(1/12),acum_c1,25000*500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D9" s="32">
        <f>LET(des_mes,(1-'Parámetros'!$B$7)^(1/12),acum_c1,30000*500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E9" s="32">
        <f>LET(des_mes,(1-'Parámetros'!$B$7)^(1/12),acum_c1,35000*500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F9" s="32">
        <f>LET(des_mes,(1-'Parámetros'!$B$7)^(1/12),acum_c1,40000*500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</row>
    <row r="10" ht="18" customHeight="1">
      <c r="A10" s="31" t="n">
        <v>1000</v>
      </c>
      <c r="B10" s="32">
        <f>LET(des_mes,(1-'Parámetros'!$B$7)^(1/12),acum_c1,20000*1000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C10" s="32">
        <f>LET(des_mes,(1-'Parámetros'!$B$7)^(1/12),acum_c1,25000*1000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D10" s="32">
        <f>LET(des_mes,(1-'Parámetros'!$B$7)^(1/12),acum_c1,30000*1000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E10" s="32">
        <f>LET(des_mes,(1-'Parámetros'!$B$7)^(1/12),acum_c1,35000*1000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  <c r="F10" s="32">
        <f>LET(des_mes,(1-'Parámetros'!$B$7)^(1/12),acum_c1,40000*1000*(1-des_mes^60)/(1-des_mes),acum_c2,MIN('Parámetros'!$B$15,acum_c1*'Parámetros'!$B$16),sub_por_t,'Parámetros'!$B$12*'Parámetros'!$B$23*'Parámetros'!$B$21*'Parámetros'!$B$22*'Parámetros'!$B$24,cap_total,acum_c1+acum_c2,precio_adj,'Parámetros'!$B$10*(1+'Parámetros'!$B$13)^(60/12),terrenos_aprox,MAX(0,ENTERO(cap_total/precio_adj)),ENTERO((cap_total+terrenos_aprox*sub_por_t)/precio_adj))</f>
        <v/>
      </c>
    </row>
    <row r="13" ht="22" customHeight="1">
      <c r="A13" s="33" t="inlineStr">
        <is>
          <t>TABLA 2 — Ratio Cobertura Deuda Capa 2 a 15 Años (Canon / Servicio Deuda)</t>
        </is>
      </c>
    </row>
    <row r="14" ht="20" customHeight="1">
      <c r="A14" s="34" t="inlineStr">
        <is>
          <t>Ret.C2 \ Canon</t>
        </is>
      </c>
      <c r="B14" s="35" t="n">
        <v>15000</v>
      </c>
      <c r="C14" s="35" t="n">
        <v>20000</v>
      </c>
      <c r="D14" s="35" t="n">
        <v>25000</v>
      </c>
      <c r="E14" s="35" t="n">
        <v>30000</v>
      </c>
      <c r="F14" s="35" t="n">
        <v>35000</v>
      </c>
    </row>
    <row r="15" ht="18" customHeight="1">
      <c r="A15" s="36" t="n">
        <v>0.03</v>
      </c>
      <c r="B15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15000*(1+'Parámetros'!$B$27)^(180/12)*12,serv_deuda,acum_c2*0.03,IF(serv_deuda=0,999,REDONDEAR(canon_anual/serv_deuda,2)))</f>
        <v/>
      </c>
      <c r="C15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20000*(1+'Parámetros'!$B$27)^(180/12)*12,serv_deuda,acum_c2*0.03,IF(serv_deuda=0,999,REDONDEAR(canon_anual/serv_deuda,2)))</f>
        <v/>
      </c>
      <c r="D15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25000*(1+'Parámetros'!$B$27)^(180/12)*12,serv_deuda,acum_c2*0.03,IF(serv_deuda=0,999,REDONDEAR(canon_anual/serv_deuda,2)))</f>
        <v/>
      </c>
      <c r="E15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30000*(1+'Parámetros'!$B$27)^(180/12)*12,serv_deuda,acum_c2*0.03,IF(serv_deuda=0,999,REDONDEAR(canon_anual/serv_deuda,2)))</f>
        <v/>
      </c>
      <c r="F15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35000*(1+'Parámetros'!$B$27)^(180/12)*12,serv_deuda,acum_c2*0.03,IF(serv_deuda=0,999,REDONDEAR(canon_anual/serv_deuda,2)))</f>
        <v/>
      </c>
    </row>
    <row r="16" ht="18" customHeight="1">
      <c r="A16" s="36" t="n">
        <v>0.04</v>
      </c>
      <c r="B16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15000*(1+'Parámetros'!$B$27)^(180/12)*12,serv_deuda,acum_c2*0.04,IF(serv_deuda=0,999,REDONDEAR(canon_anual/serv_deuda,2)))</f>
        <v/>
      </c>
      <c r="C16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20000*(1+'Parámetros'!$B$27)^(180/12)*12,serv_deuda,acum_c2*0.04,IF(serv_deuda=0,999,REDONDEAR(canon_anual/serv_deuda,2)))</f>
        <v/>
      </c>
      <c r="D16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25000*(1+'Parámetros'!$B$27)^(180/12)*12,serv_deuda,acum_c2*0.04,IF(serv_deuda=0,999,REDONDEAR(canon_anual/serv_deuda,2)))</f>
        <v/>
      </c>
      <c r="E16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30000*(1+'Parámetros'!$B$27)^(180/12)*12,serv_deuda,acum_c2*0.04,IF(serv_deuda=0,999,REDONDEAR(canon_anual/serv_deuda,2)))</f>
        <v/>
      </c>
      <c r="F16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35000*(1+'Parámetros'!$B$27)^(180/12)*12,serv_deuda,acum_c2*0.04,IF(serv_deuda=0,999,REDONDEAR(canon_anual/serv_deuda,2)))</f>
        <v/>
      </c>
    </row>
    <row r="17" ht="18" customHeight="1">
      <c r="A17" s="36" t="n">
        <v>0.05</v>
      </c>
      <c r="B17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15000*(1+'Parámetros'!$B$27)^(180/12)*12,serv_deuda,acum_c2*0.05,IF(serv_deuda=0,999,REDONDEAR(canon_anual/serv_deuda,2)))</f>
        <v/>
      </c>
      <c r="C17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20000*(1+'Parámetros'!$B$27)^(180/12)*12,serv_deuda,acum_c2*0.05,IF(serv_deuda=0,999,REDONDEAR(canon_anual/serv_deuda,2)))</f>
        <v/>
      </c>
      <c r="D17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25000*(1+'Parámetros'!$B$27)^(180/12)*12,serv_deuda,acum_c2*0.05,IF(serv_deuda=0,999,REDONDEAR(canon_anual/serv_deuda,2)))</f>
        <v/>
      </c>
      <c r="E17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30000*(1+'Parámetros'!$B$27)^(180/12)*12,serv_deuda,acum_c2*0.05,IF(serv_deuda=0,999,REDONDEAR(canon_anual/serv_deuda,2)))</f>
        <v/>
      </c>
      <c r="F17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35000*(1+'Parámetros'!$B$27)^(180/12)*12,serv_deuda,acum_c2*0.05,IF(serv_deuda=0,999,REDONDEAR(canon_anual/serv_deuda,2)))</f>
        <v/>
      </c>
    </row>
    <row r="18" ht="18" customHeight="1">
      <c r="A18" s="36" t="n">
        <v>0.06</v>
      </c>
      <c r="B18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15000*(1+'Parámetros'!$B$27)^(180/12)*12,serv_deuda,acum_c2*0.06,IF(serv_deuda=0,999,REDONDEAR(canon_anual/serv_deuda,2)))</f>
        <v/>
      </c>
      <c r="C18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20000*(1+'Parámetros'!$B$27)^(180/12)*12,serv_deuda,acum_c2*0.06,IF(serv_deuda=0,999,REDONDEAR(canon_anual/serv_deuda,2)))</f>
        <v/>
      </c>
      <c r="D18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25000*(1+'Parámetros'!$B$27)^(180/12)*12,serv_deuda,acum_c2*0.06,IF(serv_deuda=0,999,REDONDEAR(canon_anual/serv_deuda,2)))</f>
        <v/>
      </c>
      <c r="E18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30000*(1+'Parámetros'!$B$27)^(180/12)*12,serv_deuda,acum_c2*0.06,IF(serv_deuda=0,999,REDONDEAR(canon_anual/serv_deuda,2)))</f>
        <v/>
      </c>
      <c r="F18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35000*(1+'Parámetros'!$B$27)^(180/12)*12,serv_deuda,acum_c2*0.06,IF(serv_deuda=0,999,REDONDEAR(canon_anual/serv_deuda,2)))</f>
        <v/>
      </c>
    </row>
    <row r="19" ht="18" customHeight="1">
      <c r="A19" s="36" t="n">
        <v>0.07000000000000001</v>
      </c>
      <c r="B19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15000*(1+'Parámetros'!$B$27)^(180/12)*12,serv_deuda,acum_c2*0.07,IF(serv_deuda=0,999,REDONDEAR(canon_anual/serv_deuda,2)))</f>
        <v/>
      </c>
      <c r="C19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20000*(1+'Parámetros'!$B$27)^(180/12)*12,serv_deuda,acum_c2*0.07,IF(serv_deuda=0,999,REDONDEAR(canon_anual/serv_deuda,2)))</f>
        <v/>
      </c>
      <c r="D19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25000*(1+'Parámetros'!$B$27)^(180/12)*12,serv_deuda,acum_c2*0.07,IF(serv_deuda=0,999,REDONDEAR(canon_anual/serv_deuda,2)))</f>
        <v/>
      </c>
      <c r="E19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30000*(1+'Parámetros'!$B$27)^(180/12)*12,serv_deuda,acum_c2*0.07,IF(serv_deuda=0,999,REDONDEAR(canon_anual/serv_deuda,2)))</f>
        <v/>
      </c>
      <c r="F19" s="37">
        <f>LET(des_mes,(1-'Parámetros'!$B$7)^(1/12),acum_c1,'Parámetros'!$B$6*'Parámetros'!$B$5*(1-des_mes^180)/(1-des_mes),acum_c2,MIN('Parámetros'!$B$15,acum_c1*'Parámetros'!$B$16),sub_por_t,'Parámetros'!$B$12*'Parámetros'!$B$23*'Parámetros'!$B$21*'Parámetros'!$B$22*'Parámetros'!$B$24,cap_total,acum_c1+acum_c2,precio_adj,'Parámetros'!$B$10*(1+'Parámetros'!$B$13)^(180/12),terrenos,MAX(0,ENTERO(cap_total/precio_adj)),fam_ubic,terrenos*'Parámetros'!$B$12,canon_anual,fam_ubic*35000*(1+'Parámetros'!$B$27)^(180/12)*12,serv_deuda,acum_c2*0.07,IF(serv_deuda=0,999,REDONDEAR(canon_anual/serv_deuda,2)))</f>
        <v/>
      </c>
    </row>
    <row r="27" ht="22" customHeight="1">
      <c r="A27" s="38" t="inlineStr">
        <is>
          <t>TABLA 3 — Meses Hasta Primer Sorteo (primer terreno adquirido)</t>
        </is>
      </c>
    </row>
    <row r="28" ht="20" customHeight="1">
      <c r="A28" s="39" t="inlineStr">
        <is>
          <t>Familias \ Precio</t>
        </is>
      </c>
      <c r="B28" s="40" t="n">
        <v>80000000</v>
      </c>
      <c r="C28" s="40" t="n">
        <v>100000000</v>
      </c>
      <c r="D28" s="40" t="n">
        <v>120000000</v>
      </c>
      <c r="E28" s="40" t="n">
        <v>150000000</v>
      </c>
      <c r="F28" s="40" t="n">
        <v>200000000</v>
      </c>
    </row>
    <row r="29" ht="18" customHeight="1">
      <c r="A29" s="40" t="n">
        <v>100</v>
      </c>
      <c r="B29" s="32">
        <f>LET(des_mes,(1-'Parámetros'!$B$7)^(1/12),meses,SECUENCIA(180),acum_c1,'Parámetros'!$B$6*100*(1-des_mes^meses)/(1-des_mes),acum_c2,MIN('Parámetros'!$B$15,acum_c1*'Parámetros'!$B$16),cap_total,acum_c1+acum_c2,precio_adj,80000000*(1+'Parámetros'!$B$13)^((meses-1)/12),puede,cap_total&gt;=precio_adj,idx,COINCIDIR(VERDADERO,puede,0),IF(ESERROR(idx),"&gt;180",idx))</f>
        <v/>
      </c>
      <c r="C29" s="32">
        <f>LET(des_mes,(1-'Parámetros'!$B$7)^(1/12),meses,SECUENCIA(180),acum_c1,'Parámetros'!$B$6*100*(1-des_mes^meses)/(1-des_mes),acum_c2,MIN('Parámetros'!$B$15,acum_c1*'Parámetros'!$B$16),cap_total,acum_c1+acum_c2,precio_adj,100000000*(1+'Parámetros'!$B$13)^((meses-1)/12),puede,cap_total&gt;=precio_adj,idx,COINCIDIR(VERDADERO,puede,0),IF(ESERROR(idx),"&gt;180",idx))</f>
        <v/>
      </c>
      <c r="D29" s="32">
        <f>LET(des_mes,(1-'Parámetros'!$B$7)^(1/12),meses,SECUENCIA(180),acum_c1,'Parámetros'!$B$6*100*(1-des_mes^meses)/(1-des_mes),acum_c2,MIN('Parámetros'!$B$15,acum_c1*'Parámetros'!$B$16),cap_total,acum_c1+acum_c2,precio_adj,120000000*(1+'Parámetros'!$B$13)^((meses-1)/12),puede,cap_total&gt;=precio_adj,idx,COINCIDIR(VERDADERO,puede,0),IF(ESERROR(idx),"&gt;180",idx))</f>
        <v/>
      </c>
      <c r="E29" s="32">
        <f>LET(des_mes,(1-'Parámetros'!$B$7)^(1/12),meses,SECUENCIA(180),acum_c1,'Parámetros'!$B$6*100*(1-des_mes^meses)/(1-des_mes),acum_c2,MIN('Parámetros'!$B$15,acum_c1*'Parámetros'!$B$16),cap_total,acum_c1+acum_c2,precio_adj,150000000*(1+'Parámetros'!$B$13)^((meses-1)/12),puede,cap_total&gt;=precio_adj,idx,COINCIDIR(VERDADERO,puede,0),IF(ESERROR(idx),"&gt;180",idx))</f>
        <v/>
      </c>
      <c r="F29" s="32">
        <f>LET(des_mes,(1-'Parámetros'!$B$7)^(1/12),meses,SECUENCIA(180),acum_c1,'Parámetros'!$B$6*100*(1-des_mes^meses)/(1-des_mes),acum_c2,MIN('Parámetros'!$B$15,acum_c1*'Parámetros'!$B$16),cap_total,acum_c1+acum_c2,precio_adj,200000000*(1+'Parámetros'!$B$13)^((meses-1)/12),puede,cap_total&gt;=precio_adj,idx,COINCIDIR(VERDADERO,puede,0),IF(ESERROR(idx),"&gt;180",idx))</f>
        <v/>
      </c>
    </row>
    <row r="30" ht="18" customHeight="1">
      <c r="A30" s="40" t="n">
        <v>200</v>
      </c>
      <c r="B30" s="32">
        <f>LET(des_mes,(1-'Parámetros'!$B$7)^(1/12),meses,SECUENCIA(180),acum_c1,'Parámetros'!$B$6*200*(1-des_mes^meses)/(1-des_mes),acum_c2,MIN('Parámetros'!$B$15,acum_c1*'Parámetros'!$B$16),cap_total,acum_c1+acum_c2,precio_adj,80000000*(1+'Parámetros'!$B$13)^((meses-1)/12),puede,cap_total&gt;=precio_adj,idx,COINCIDIR(VERDADERO,puede,0),IF(ESERROR(idx),"&gt;180",idx))</f>
        <v/>
      </c>
      <c r="C30" s="32">
        <f>LET(des_mes,(1-'Parámetros'!$B$7)^(1/12),meses,SECUENCIA(180),acum_c1,'Parámetros'!$B$6*200*(1-des_mes^meses)/(1-des_mes),acum_c2,MIN('Parámetros'!$B$15,acum_c1*'Parámetros'!$B$16),cap_total,acum_c1+acum_c2,precio_adj,100000000*(1+'Parámetros'!$B$13)^((meses-1)/12),puede,cap_total&gt;=precio_adj,idx,COINCIDIR(VERDADERO,puede,0),IF(ESERROR(idx),"&gt;180",idx))</f>
        <v/>
      </c>
      <c r="D30" s="32">
        <f>LET(des_mes,(1-'Parámetros'!$B$7)^(1/12),meses,SECUENCIA(180),acum_c1,'Parámetros'!$B$6*200*(1-des_mes^meses)/(1-des_mes),acum_c2,MIN('Parámetros'!$B$15,acum_c1*'Parámetros'!$B$16),cap_total,acum_c1+acum_c2,precio_adj,120000000*(1+'Parámetros'!$B$13)^((meses-1)/12),puede,cap_total&gt;=precio_adj,idx,COINCIDIR(VERDADERO,puede,0),IF(ESERROR(idx),"&gt;180",idx))</f>
        <v/>
      </c>
      <c r="E30" s="32">
        <f>LET(des_mes,(1-'Parámetros'!$B$7)^(1/12),meses,SECUENCIA(180),acum_c1,'Parámetros'!$B$6*200*(1-des_mes^meses)/(1-des_mes),acum_c2,MIN('Parámetros'!$B$15,acum_c1*'Parámetros'!$B$16),cap_total,acum_c1+acum_c2,precio_adj,150000000*(1+'Parámetros'!$B$13)^((meses-1)/12),puede,cap_total&gt;=precio_adj,idx,COINCIDIR(VERDADERO,puede,0),IF(ESERROR(idx),"&gt;180",idx))</f>
        <v/>
      </c>
      <c r="F30" s="32">
        <f>LET(des_mes,(1-'Parámetros'!$B$7)^(1/12),meses,SECUENCIA(180),acum_c1,'Parámetros'!$B$6*200*(1-des_mes^meses)/(1-des_mes),acum_c2,MIN('Parámetros'!$B$15,acum_c1*'Parámetros'!$B$16),cap_total,acum_c1+acum_c2,precio_adj,200000000*(1+'Parámetros'!$B$13)^((meses-1)/12),puede,cap_total&gt;=precio_adj,idx,COINCIDIR(VERDADERO,puede,0),IF(ESERROR(idx),"&gt;180",idx))</f>
        <v/>
      </c>
    </row>
    <row r="31" ht="18" customHeight="1">
      <c r="A31" s="40" t="n">
        <v>300</v>
      </c>
      <c r="B31" s="32">
        <f>LET(des_mes,(1-'Parámetros'!$B$7)^(1/12),meses,SECUENCIA(180),acum_c1,'Parámetros'!$B$6*300*(1-des_mes^meses)/(1-des_mes),acum_c2,MIN('Parámetros'!$B$15,acum_c1*'Parámetros'!$B$16),cap_total,acum_c1+acum_c2,precio_adj,80000000*(1+'Parámetros'!$B$13)^((meses-1)/12),puede,cap_total&gt;=precio_adj,idx,COINCIDIR(VERDADERO,puede,0),IF(ESERROR(idx),"&gt;180",idx))</f>
        <v/>
      </c>
      <c r="C31" s="32">
        <f>LET(des_mes,(1-'Parámetros'!$B$7)^(1/12),meses,SECUENCIA(180),acum_c1,'Parámetros'!$B$6*300*(1-des_mes^meses)/(1-des_mes),acum_c2,MIN('Parámetros'!$B$15,acum_c1*'Parámetros'!$B$16),cap_total,acum_c1+acum_c2,precio_adj,100000000*(1+'Parámetros'!$B$13)^((meses-1)/12),puede,cap_total&gt;=precio_adj,idx,COINCIDIR(VERDADERO,puede,0),IF(ESERROR(idx),"&gt;180",idx))</f>
        <v/>
      </c>
      <c r="D31" s="32">
        <f>LET(des_mes,(1-'Parámetros'!$B$7)^(1/12),meses,SECUENCIA(180),acum_c1,'Parámetros'!$B$6*300*(1-des_mes^meses)/(1-des_mes),acum_c2,MIN('Parámetros'!$B$15,acum_c1*'Parámetros'!$B$16),cap_total,acum_c1+acum_c2,precio_adj,120000000*(1+'Parámetros'!$B$13)^((meses-1)/12),puede,cap_total&gt;=precio_adj,idx,COINCIDIR(VERDADERO,puede,0),IF(ESERROR(idx),"&gt;180",idx))</f>
        <v/>
      </c>
      <c r="E31" s="32">
        <f>LET(des_mes,(1-'Parámetros'!$B$7)^(1/12),meses,SECUENCIA(180),acum_c1,'Parámetros'!$B$6*300*(1-des_mes^meses)/(1-des_mes),acum_c2,MIN('Parámetros'!$B$15,acum_c1*'Parámetros'!$B$16),cap_total,acum_c1+acum_c2,precio_adj,150000000*(1+'Parámetros'!$B$13)^((meses-1)/12),puede,cap_total&gt;=precio_adj,idx,COINCIDIR(VERDADERO,puede,0),IF(ESERROR(idx),"&gt;180",idx))</f>
        <v/>
      </c>
      <c r="F31" s="32">
        <f>LET(des_mes,(1-'Parámetros'!$B$7)^(1/12),meses,SECUENCIA(180),acum_c1,'Parámetros'!$B$6*300*(1-des_mes^meses)/(1-des_mes),acum_c2,MIN('Parámetros'!$B$15,acum_c1*'Parámetros'!$B$16),cap_total,acum_c1+acum_c2,precio_adj,200000000*(1+'Parámetros'!$B$13)^((meses-1)/12),puede,cap_total&gt;=precio_adj,idx,COINCIDIR(VERDADERO,puede,0),IF(ESERROR(idx),"&gt;180",idx))</f>
        <v/>
      </c>
    </row>
    <row r="32" ht="18" customHeight="1">
      <c r="A32" s="40" t="n">
        <v>500</v>
      </c>
      <c r="B32" s="32">
        <f>LET(des_mes,(1-'Parámetros'!$B$7)^(1/12),meses,SECUENCIA(180),acum_c1,'Parámetros'!$B$6*500*(1-des_mes^meses)/(1-des_mes),acum_c2,MIN('Parámetros'!$B$15,acum_c1*'Parámetros'!$B$16),cap_total,acum_c1+acum_c2,precio_adj,80000000*(1+'Parámetros'!$B$13)^((meses-1)/12),puede,cap_total&gt;=precio_adj,idx,COINCIDIR(VERDADERO,puede,0),IF(ESERROR(idx),"&gt;180",idx))</f>
        <v/>
      </c>
      <c r="C32" s="32">
        <f>LET(des_mes,(1-'Parámetros'!$B$7)^(1/12),meses,SECUENCIA(180),acum_c1,'Parámetros'!$B$6*500*(1-des_mes^meses)/(1-des_mes),acum_c2,MIN('Parámetros'!$B$15,acum_c1*'Parámetros'!$B$16),cap_total,acum_c1+acum_c2,precio_adj,100000000*(1+'Parámetros'!$B$13)^((meses-1)/12),puede,cap_total&gt;=precio_adj,idx,COINCIDIR(VERDADERO,puede,0),IF(ESERROR(idx),"&gt;180",idx))</f>
        <v/>
      </c>
      <c r="D32" s="32">
        <f>LET(des_mes,(1-'Parámetros'!$B$7)^(1/12),meses,SECUENCIA(180),acum_c1,'Parámetros'!$B$6*500*(1-des_mes^meses)/(1-des_mes),acum_c2,MIN('Parámetros'!$B$15,acum_c1*'Parámetros'!$B$16),cap_total,acum_c1+acum_c2,precio_adj,120000000*(1+'Parámetros'!$B$13)^((meses-1)/12),puede,cap_total&gt;=precio_adj,idx,COINCIDIR(VERDADERO,puede,0),IF(ESERROR(idx),"&gt;180",idx))</f>
        <v/>
      </c>
      <c r="E32" s="32">
        <f>LET(des_mes,(1-'Parámetros'!$B$7)^(1/12),meses,SECUENCIA(180),acum_c1,'Parámetros'!$B$6*500*(1-des_mes^meses)/(1-des_mes),acum_c2,MIN('Parámetros'!$B$15,acum_c1*'Parámetros'!$B$16),cap_total,acum_c1+acum_c2,precio_adj,150000000*(1+'Parámetros'!$B$13)^((meses-1)/12),puede,cap_total&gt;=precio_adj,idx,COINCIDIR(VERDADERO,puede,0),IF(ESERROR(idx),"&gt;180",idx))</f>
        <v/>
      </c>
      <c r="F32" s="32">
        <f>LET(des_mes,(1-'Parámetros'!$B$7)^(1/12),meses,SECUENCIA(180),acum_c1,'Parámetros'!$B$6*500*(1-des_mes^meses)/(1-des_mes),acum_c2,MIN('Parámetros'!$B$15,acum_c1*'Parámetros'!$B$16),cap_total,acum_c1+acum_c2,precio_adj,200000000*(1+'Parámetros'!$B$13)^((meses-1)/12),puede,cap_total&gt;=precio_adj,idx,COINCIDIR(VERDADERO,puede,0),IF(ESERROR(idx),"&gt;180",idx))</f>
        <v/>
      </c>
    </row>
    <row r="33" ht="18" customHeight="1">
      <c r="A33" s="40" t="n">
        <v>1000</v>
      </c>
      <c r="B33" s="32">
        <f>LET(des_mes,(1-'Parámetros'!$B$7)^(1/12),meses,SECUENCIA(180),acum_c1,'Parámetros'!$B$6*1000*(1-des_mes^meses)/(1-des_mes),acum_c2,MIN('Parámetros'!$B$15,acum_c1*'Parámetros'!$B$16),cap_total,acum_c1+acum_c2,precio_adj,80000000*(1+'Parámetros'!$B$13)^((meses-1)/12),puede,cap_total&gt;=precio_adj,idx,COINCIDIR(VERDADERO,puede,0),IF(ESERROR(idx),"&gt;180",idx))</f>
        <v/>
      </c>
      <c r="C33" s="32">
        <f>LET(des_mes,(1-'Parámetros'!$B$7)^(1/12),meses,SECUENCIA(180),acum_c1,'Parámetros'!$B$6*1000*(1-des_mes^meses)/(1-des_mes),acum_c2,MIN('Parámetros'!$B$15,acum_c1*'Parámetros'!$B$16),cap_total,acum_c1+acum_c2,precio_adj,100000000*(1+'Parámetros'!$B$13)^((meses-1)/12),puede,cap_total&gt;=precio_adj,idx,COINCIDIR(VERDADERO,puede,0),IF(ESERROR(idx),"&gt;180",idx))</f>
        <v/>
      </c>
      <c r="D33" s="32">
        <f>LET(des_mes,(1-'Parámetros'!$B$7)^(1/12),meses,SECUENCIA(180),acum_c1,'Parámetros'!$B$6*1000*(1-des_mes^meses)/(1-des_mes),acum_c2,MIN('Parámetros'!$B$15,acum_c1*'Parámetros'!$B$16),cap_total,acum_c1+acum_c2,precio_adj,120000000*(1+'Parámetros'!$B$13)^((meses-1)/12),puede,cap_total&gt;=precio_adj,idx,COINCIDIR(VERDADERO,puede,0),IF(ESERROR(idx),"&gt;180",idx))</f>
        <v/>
      </c>
      <c r="E33" s="32">
        <f>LET(des_mes,(1-'Parámetros'!$B$7)^(1/12),meses,SECUENCIA(180),acum_c1,'Parámetros'!$B$6*1000*(1-des_mes^meses)/(1-des_mes),acum_c2,MIN('Parámetros'!$B$15,acum_c1*'Parámetros'!$B$16),cap_total,acum_c1+acum_c2,precio_adj,150000000*(1+'Parámetros'!$B$13)^((meses-1)/12),puede,cap_total&gt;=precio_adj,idx,COINCIDIR(VERDADERO,puede,0),IF(ESERROR(idx),"&gt;180",idx))</f>
        <v/>
      </c>
      <c r="F33" s="32">
        <f>LET(des_mes,(1-'Parámetros'!$B$7)^(1/12),meses,SECUENCIA(180),acum_c1,'Parámetros'!$B$6*1000*(1-des_mes^meses)/(1-des_mes),acum_c2,MIN('Parámetros'!$B$15,acum_c1*'Parámetros'!$B$16),cap_total,acum_c1+acum_c2,precio_adj,200000000*(1+'Parámetros'!$B$13)^((meses-1)/12),puede,cap_total&gt;=precio_adj,idx,COINCIDIR(VERDADERO,puede,0),IF(ESERROR(idx),"&gt;180",idx))</f>
        <v/>
      </c>
    </row>
  </sheetData>
  <mergeCells count="5">
    <mergeCell ref="A13:G13"/>
    <mergeCell ref="A27:G27"/>
    <mergeCell ref="A1:P1"/>
    <mergeCell ref="A4:G4"/>
    <mergeCell ref="A2:P2"/>
  </mergeCells>
  <conditionalFormatting sqref="B6:F10">
    <cfRule type="colorScale" priority="1">
      <colorScale>
        <cfvo type="min"/>
        <cfvo type="percentile" val="50"/>
        <cfvo type="max"/>
        <color rgb="00FCE4D6"/>
        <color rgb="00FFFF99"/>
        <color rgb="00E2EFDA"/>
      </colorScale>
    </cfRule>
  </conditionalFormatting>
  <conditionalFormatting sqref="B15:F19">
    <cfRule type="colorScale" priority="2">
      <colorScale>
        <cfvo type="min"/>
        <cfvo type="num" val="1"/>
        <cfvo type="max"/>
        <color rgb="00FCE4D6"/>
        <color rgb="00FFFF99"/>
        <color rgb="00E2EFDA"/>
      </colorScale>
    </cfRule>
  </conditionalFormatting>
  <conditionalFormatting sqref="B29:F33">
    <cfRule type="colorScale" priority="3">
      <colorScale>
        <cfvo type="min"/>
        <cfvo type="percentile" val="50"/>
        <cfvo type="max"/>
        <color rgb="00E2EFDA"/>
        <color rgb="00FFFF99"/>
        <color rgb="00FCE4D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showGridLines="0" tabSelected="1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32" customHeight="1">
      <c r="A1" s="41" t="inlineStr">
        <is>
          <t>FONDO MUTUALISTA DE SUELO URBANO — Dashboard de KPIs</t>
        </is>
      </c>
    </row>
    <row r="2" ht="18" customHeight="1">
      <c r="A2" s="42" t="inlineStr">
        <is>
          <t>Resultados calculados automáticamente desde la hoja 'Parámetros'. Horizonte: 180 meses (15 años).</t>
        </is>
      </c>
    </row>
    <row r="4" ht="20" customHeight="1">
      <c r="B4" s="3" t="inlineStr">
        <is>
          <t>IMPACTO — Terrenos y Familias</t>
        </is>
      </c>
    </row>
    <row r="5" ht="18" customHeight="1">
      <c r="B5" s="18" t="inlineStr">
        <is>
          <t>Terrenos a 3 años</t>
        </is>
      </c>
      <c r="D5" s="18" t="inlineStr">
        <is>
          <t>Terrenos a 5 años</t>
        </is>
      </c>
      <c r="F5" s="18" t="inlineStr">
        <is>
          <t>Terrenos a 10 años</t>
        </is>
      </c>
      <c r="H5" s="18" t="inlineStr">
        <is>
          <t>Terrenos a 15 años</t>
        </is>
      </c>
    </row>
    <row r="6" ht="28" customHeight="1">
      <c r="B6" s="43">
        <f>'Flujo del Fondo'!J39</f>
        <v/>
      </c>
      <c r="D6" s="43">
        <f>'Flujo del Fondo'!J63</f>
        <v/>
      </c>
      <c r="F6" s="43">
        <f>'Flujo del Fondo'!J123</f>
        <v/>
      </c>
      <c r="H6" s="43">
        <f>'Flujo del Fondo'!J183</f>
        <v/>
      </c>
    </row>
    <row r="7" ht="16" customHeight="1">
      <c r="B7" s="44" t="inlineStr">
        <is>
          <t>(mes 36)</t>
        </is>
      </c>
      <c r="D7" s="44" t="inlineStr">
        <is>
          <t>(mes 60)</t>
        </is>
      </c>
      <c r="F7" s="44" t="inlineStr">
        <is>
          <t>(mes 120)</t>
        </is>
      </c>
      <c r="H7" s="44" t="inlineStr">
        <is>
          <t>(mes 180)</t>
        </is>
      </c>
    </row>
    <row r="9" ht="20" customHeight="1">
      <c r="B9" s="45" t="inlineStr">
        <is>
          <t>FAMILIAS UBICADAS EN CLT</t>
        </is>
      </c>
    </row>
    <row r="10" ht="18" customHeight="1">
      <c r="B10" s="46" t="inlineStr">
        <is>
          <t>Familias ubicadas a 3 años</t>
        </is>
      </c>
      <c r="D10" s="46" t="inlineStr">
        <is>
          <t>Familias ubicadas a 5 años</t>
        </is>
      </c>
      <c r="F10" s="46" t="inlineStr">
        <is>
          <t>Familias ubicadas a 10 años</t>
        </is>
      </c>
      <c r="H10" s="46" t="inlineStr">
        <is>
          <t>Familias ubicadas a 15 años</t>
        </is>
      </c>
    </row>
    <row r="11" ht="28" customHeight="1">
      <c r="B11" s="47">
        <f>'Flujo del Fondo'!K39</f>
        <v/>
      </c>
      <c r="D11" s="47">
        <f>'Flujo del Fondo'!K63</f>
        <v/>
      </c>
      <c r="F11" s="47">
        <f>'Flujo del Fondo'!K123</f>
        <v/>
      </c>
      <c r="H11" s="47">
        <f>'Flujo del Fondo'!K183</f>
        <v/>
      </c>
    </row>
    <row r="12" ht="16" customHeight="1">
      <c r="B12" s="48" t="inlineStr">
        <is>
          <t>(mes 36)</t>
        </is>
      </c>
      <c r="D12" s="48" t="inlineStr">
        <is>
          <t>(mes 60)</t>
        </is>
      </c>
      <c r="F12" s="48" t="inlineStr">
        <is>
          <t>(mes 120)</t>
        </is>
      </c>
      <c r="H12" s="48" t="inlineStr">
        <is>
          <t>(mes 180)</t>
        </is>
      </c>
    </row>
    <row r="15" ht="20" customHeight="1">
      <c r="B15" s="49" t="inlineStr">
        <is>
          <t>CAPITAL MOVILIZADO Y APALANCAMIENTO</t>
        </is>
      </c>
    </row>
    <row r="16" ht="18" customHeight="1">
      <c r="B16" s="50" t="inlineStr">
        <is>
          <t>Capital Total Movilizado</t>
        </is>
      </c>
      <c r="D16" s="50" t="inlineStr">
        <is>
          <t>Apalancamiento Total</t>
        </is>
      </c>
      <c r="F16" s="50" t="inlineStr">
        <is>
          <t>Meses hasta Primer Sorteo</t>
        </is>
      </c>
      <c r="H16" s="50" t="inlineStr">
        <is>
          <t>Costo por Familia Ubicada</t>
        </is>
      </c>
    </row>
    <row r="17" ht="28" customHeight="1">
      <c r="B17" s="51">
        <f>'Flujo del Fondo'!I183</f>
        <v/>
      </c>
      <c r="D17" s="52">
        <f>IF('Flujo del Fondo'!E183=0,0,'Flujo del Fondo'!I183/'Flujo del Fondo'!E183)</f>
        <v/>
      </c>
      <c r="F17" s="53">
        <f>LET(t,COINCIDIR(1,'Flujo del Fondo'!J4:'Flujo del Fondo'!J183,1),IF(ESERROR(t),"&gt;180",t))</f>
        <v/>
      </c>
      <c r="H17" s="51">
        <f>IF('Flujo del Fondo'!K183=0,0,'Flujo del Fondo'!I183/'Flujo del Fondo'!K183)</f>
        <v/>
      </c>
    </row>
    <row r="18" ht="16" customHeight="1">
      <c r="B18" s="54" t="inlineStr">
        <is>
          <t>Suma 3 capas (mes 180)</t>
        </is>
      </c>
      <c r="D18" s="54" t="inlineStr">
        <is>
          <t>Cap. total / Capa 1</t>
        </is>
      </c>
      <c r="F18" s="54" t="inlineStr">
        <is>
          <t>1er terreno adquirido</t>
        </is>
      </c>
      <c r="H18" s="54" t="inlineStr">
        <is>
          <t>Cap. total / fam. ubicadas</t>
        </is>
      </c>
    </row>
    <row r="21" ht="20" customHeight="1">
      <c r="B21" s="55" t="inlineStr">
        <is>
          <t>COBERTURA DEUDA CAPA 2 (Canon / Servicio Deuda)</t>
        </is>
      </c>
    </row>
    <row r="22" ht="18" customHeight="1">
      <c r="B22" s="56" t="inlineStr">
        <is>
          <t>Cobertura a 5 años</t>
        </is>
      </c>
      <c r="D22" s="56" t="inlineStr">
        <is>
          <t>Cobertura a 10 años</t>
        </is>
      </c>
      <c r="F22" s="56" t="inlineStr">
        <is>
          <t>Cobertura a 15 años</t>
        </is>
      </c>
      <c r="H22" s="56" t="inlineStr">
        <is>
          <t>Retorno exigido Capa 2</t>
        </is>
      </c>
    </row>
    <row r="23" ht="28" customHeight="1">
      <c r="B23" s="57">
        <f>IF('Flujo del Fondo'!O63=0,"&gt;10x",'Flujo del Fondo'!M63/'Flujo del Fondo'!O63)</f>
        <v/>
      </c>
      <c r="D23" s="57">
        <f>IF('Flujo del Fondo'!O123=0,"&gt;10x",'Flujo del Fondo'!M123/'Flujo del Fondo'!O123)</f>
        <v/>
      </c>
      <c r="F23" s="57">
        <f>IF('Flujo del Fondo'!O183=0,"&gt;10x",'Flujo del Fondo'!M183/'Flujo del Fondo'!O183)</f>
        <v/>
      </c>
      <c r="H23" s="58">
        <f>'Parámetros'!$B$17</f>
        <v/>
      </c>
    </row>
    <row r="24" ht="16" customHeight="1">
      <c r="B24" s="59" t="inlineStr">
        <is>
          <t>(mes 60)</t>
        </is>
      </c>
      <c r="D24" s="59" t="inlineStr">
        <is>
          <t>(mes 120)</t>
        </is>
      </c>
      <c r="F24" s="59" t="inlineStr">
        <is>
          <t>(mes 180)</t>
        </is>
      </c>
      <c r="H24" s="59" t="inlineStr">
        <is>
          <t>(configurado en Parámetros)</t>
        </is>
      </c>
    </row>
    <row r="27" ht="20" customHeight="1">
      <c r="B27" s="60" t="inlineStr">
        <is>
          <t>COMPARACIÓN VS. SUBSIDIO DS-49</t>
        </is>
      </c>
    </row>
    <row r="28" ht="18" customHeight="1">
      <c r="B28" s="50" t="inlineStr">
        <is>
          <t>Subsidio DS-49 referencial</t>
        </is>
      </c>
      <c r="D28" s="50" t="inlineStr">
        <is>
          <t>Costo por familia (CLT)</t>
        </is>
      </c>
      <c r="F28" s="50" t="inlineStr">
        <is>
          <t>Diferencia vs DS-49</t>
        </is>
      </c>
      <c r="H28" s="50" t="inlineStr">
        <is>
          <t>Flujo Neto Acumulado 15 años</t>
        </is>
      </c>
    </row>
    <row r="29" ht="28" customHeight="1">
      <c r="B29" s="61">
        <f>1400*'Parámetros'!$B$22</f>
        <v/>
      </c>
      <c r="D29" s="61">
        <f>IF('Flujo del Fondo'!K183=0,0,'Flujo del Fondo'!I183/'Flujo del Fondo'!K183)</f>
        <v/>
      </c>
      <c r="F29" s="62">
        <f>IF('Flujo del Fondo'!K183=0,0,('Flujo del Fondo'!I183/'Flujo del Fondo'!K183)-(1400*'Parámetros'!$B$22))</f>
        <v/>
      </c>
      <c r="H29" s="61">
        <f>'Flujo del Fondo'!Q183</f>
        <v/>
      </c>
    </row>
    <row r="30" ht="16" customHeight="1">
      <c r="B30" s="63" t="inlineStr">
        <is>
          <t>1.400 UF × valor UF</t>
        </is>
      </c>
      <c r="D30" s="63" t="inlineStr">
        <is>
          <t>Cap. total / fam. ubicadas</t>
        </is>
      </c>
      <c r="F30" s="63" t="inlineStr">
        <is>
          <t>(+ costoso / - costoso que DS-49)</t>
        </is>
      </c>
      <c r="H30" s="63" t="inlineStr">
        <is>
          <t>(positivo = autosustentable)</t>
        </is>
      </c>
    </row>
    <row r="35">
      <c r="B35" s="64" t="inlineStr">
        <is>
          <t>Datos para gráficos (referencias a Flujo del Fondo)</t>
        </is>
      </c>
    </row>
    <row r="36">
      <c r="B36" s="3" t="inlineStr">
        <is>
          <t>Año</t>
        </is>
      </c>
      <c r="C36" s="3" t="inlineStr">
        <is>
          <t>Acum.C1(M$)</t>
        </is>
      </c>
      <c r="D36" s="3" t="inlineStr">
        <is>
          <t>Acum.C2(M$)</t>
        </is>
      </c>
      <c r="E36" s="3" t="inlineStr">
        <is>
          <t>Acum.C3(M$)</t>
        </is>
      </c>
      <c r="F36" s="3" t="inlineStr">
        <is>
          <t>Fam.Ubic.</t>
        </is>
      </c>
      <c r="G36" s="3" t="inlineStr">
        <is>
          <t>Fam.Espera</t>
        </is>
      </c>
      <c r="H36" s="3" t="inlineStr">
        <is>
          <t>Terrenos</t>
        </is>
      </c>
    </row>
    <row r="37">
      <c r="B37" s="32" t="n">
        <v>1</v>
      </c>
      <c r="C37" s="65">
        <f>REDONDEAR('Flujo del Fondo'!E15/1000000,1)</f>
        <v/>
      </c>
      <c r="D37" s="65">
        <f>REDONDEAR('Flujo del Fondo'!G15/1000000,1)</f>
        <v/>
      </c>
      <c r="E37" s="65">
        <f>REDONDEAR('Flujo del Fondo'!H15/1000000,1)</f>
        <v/>
      </c>
      <c r="F37" s="32">
        <f>'Flujo del Fondo'!K15</f>
        <v/>
      </c>
      <c r="G37" s="32">
        <f>'Flujo del Fondo'!L15</f>
        <v/>
      </c>
      <c r="H37" s="32">
        <f>'Flujo del Fondo'!J15</f>
        <v/>
      </c>
    </row>
    <row r="38">
      <c r="B38" s="32" t="n">
        <v>2</v>
      </c>
      <c r="C38" s="65">
        <f>REDONDEAR('Flujo del Fondo'!E27/1000000,1)</f>
        <v/>
      </c>
      <c r="D38" s="65">
        <f>REDONDEAR('Flujo del Fondo'!G27/1000000,1)</f>
        <v/>
      </c>
      <c r="E38" s="65">
        <f>REDONDEAR('Flujo del Fondo'!H27/1000000,1)</f>
        <v/>
      </c>
      <c r="F38" s="32">
        <f>'Flujo del Fondo'!K27</f>
        <v/>
      </c>
      <c r="G38" s="32">
        <f>'Flujo del Fondo'!L27</f>
        <v/>
      </c>
      <c r="H38" s="32">
        <f>'Flujo del Fondo'!J27</f>
        <v/>
      </c>
    </row>
    <row r="39">
      <c r="B39" s="32" t="n">
        <v>3</v>
      </c>
      <c r="C39" s="65">
        <f>REDONDEAR('Flujo del Fondo'!E39/1000000,1)</f>
        <v/>
      </c>
      <c r="D39" s="65">
        <f>REDONDEAR('Flujo del Fondo'!G39/1000000,1)</f>
        <v/>
      </c>
      <c r="E39" s="65">
        <f>REDONDEAR('Flujo del Fondo'!H39/1000000,1)</f>
        <v/>
      </c>
      <c r="F39" s="32">
        <f>'Flujo del Fondo'!K39</f>
        <v/>
      </c>
      <c r="G39" s="32">
        <f>'Flujo del Fondo'!L39</f>
        <v/>
      </c>
      <c r="H39" s="32">
        <f>'Flujo del Fondo'!J39</f>
        <v/>
      </c>
    </row>
    <row r="40">
      <c r="B40" s="32" t="n">
        <v>4</v>
      </c>
      <c r="C40" s="65">
        <f>REDONDEAR('Flujo del Fondo'!E51/1000000,1)</f>
        <v/>
      </c>
      <c r="D40" s="65">
        <f>REDONDEAR('Flujo del Fondo'!G51/1000000,1)</f>
        <v/>
      </c>
      <c r="E40" s="65">
        <f>REDONDEAR('Flujo del Fondo'!H51/1000000,1)</f>
        <v/>
      </c>
      <c r="F40" s="32">
        <f>'Flujo del Fondo'!K51</f>
        <v/>
      </c>
      <c r="G40" s="32">
        <f>'Flujo del Fondo'!L51</f>
        <v/>
      </c>
      <c r="H40" s="32">
        <f>'Flujo del Fondo'!J51</f>
        <v/>
      </c>
    </row>
    <row r="41">
      <c r="B41" s="32" t="n">
        <v>5</v>
      </c>
      <c r="C41" s="65">
        <f>REDONDEAR('Flujo del Fondo'!E63/1000000,1)</f>
        <v/>
      </c>
      <c r="D41" s="65">
        <f>REDONDEAR('Flujo del Fondo'!G63/1000000,1)</f>
        <v/>
      </c>
      <c r="E41" s="65">
        <f>REDONDEAR('Flujo del Fondo'!H63/1000000,1)</f>
        <v/>
      </c>
      <c r="F41" s="32">
        <f>'Flujo del Fondo'!K63</f>
        <v/>
      </c>
      <c r="G41" s="32">
        <f>'Flujo del Fondo'!L63</f>
        <v/>
      </c>
      <c r="H41" s="32">
        <f>'Flujo del Fondo'!J63</f>
        <v/>
      </c>
    </row>
    <row r="42">
      <c r="B42" s="32" t="n">
        <v>6</v>
      </c>
      <c r="C42" s="65">
        <f>REDONDEAR('Flujo del Fondo'!E75/1000000,1)</f>
        <v/>
      </c>
      <c r="D42" s="65">
        <f>REDONDEAR('Flujo del Fondo'!G75/1000000,1)</f>
        <v/>
      </c>
      <c r="E42" s="65">
        <f>REDONDEAR('Flujo del Fondo'!H75/1000000,1)</f>
        <v/>
      </c>
      <c r="F42" s="32">
        <f>'Flujo del Fondo'!K75</f>
        <v/>
      </c>
      <c r="G42" s="32">
        <f>'Flujo del Fondo'!L75</f>
        <v/>
      </c>
      <c r="H42" s="32">
        <f>'Flujo del Fondo'!J75</f>
        <v/>
      </c>
    </row>
    <row r="43">
      <c r="B43" s="32" t="n">
        <v>7</v>
      </c>
      <c r="C43" s="65">
        <f>REDONDEAR('Flujo del Fondo'!E87/1000000,1)</f>
        <v/>
      </c>
      <c r="D43" s="65">
        <f>REDONDEAR('Flujo del Fondo'!G87/1000000,1)</f>
        <v/>
      </c>
      <c r="E43" s="65">
        <f>REDONDEAR('Flujo del Fondo'!H87/1000000,1)</f>
        <v/>
      </c>
      <c r="F43" s="32">
        <f>'Flujo del Fondo'!K87</f>
        <v/>
      </c>
      <c r="G43" s="32">
        <f>'Flujo del Fondo'!L87</f>
        <v/>
      </c>
      <c r="H43" s="32">
        <f>'Flujo del Fondo'!J87</f>
        <v/>
      </c>
    </row>
    <row r="44">
      <c r="B44" s="32" t="n">
        <v>8</v>
      </c>
      <c r="C44" s="65">
        <f>REDONDEAR('Flujo del Fondo'!E99/1000000,1)</f>
        <v/>
      </c>
      <c r="D44" s="65">
        <f>REDONDEAR('Flujo del Fondo'!G99/1000000,1)</f>
        <v/>
      </c>
      <c r="E44" s="65">
        <f>REDONDEAR('Flujo del Fondo'!H99/1000000,1)</f>
        <v/>
      </c>
      <c r="F44" s="32">
        <f>'Flujo del Fondo'!K99</f>
        <v/>
      </c>
      <c r="G44" s="32">
        <f>'Flujo del Fondo'!L99</f>
        <v/>
      </c>
      <c r="H44" s="32">
        <f>'Flujo del Fondo'!J99</f>
        <v/>
      </c>
    </row>
    <row r="45">
      <c r="B45" s="32" t="n">
        <v>9</v>
      </c>
      <c r="C45" s="65">
        <f>REDONDEAR('Flujo del Fondo'!E111/1000000,1)</f>
        <v/>
      </c>
      <c r="D45" s="65">
        <f>REDONDEAR('Flujo del Fondo'!G111/1000000,1)</f>
        <v/>
      </c>
      <c r="E45" s="65">
        <f>REDONDEAR('Flujo del Fondo'!H111/1000000,1)</f>
        <v/>
      </c>
      <c r="F45" s="32">
        <f>'Flujo del Fondo'!K111</f>
        <v/>
      </c>
      <c r="G45" s="32">
        <f>'Flujo del Fondo'!L111</f>
        <v/>
      </c>
      <c r="H45" s="32">
        <f>'Flujo del Fondo'!J111</f>
        <v/>
      </c>
    </row>
    <row r="46">
      <c r="B46" s="32" t="n">
        <v>10</v>
      </c>
      <c r="C46" s="65">
        <f>REDONDEAR('Flujo del Fondo'!E123/1000000,1)</f>
        <v/>
      </c>
      <c r="D46" s="65">
        <f>REDONDEAR('Flujo del Fondo'!G123/1000000,1)</f>
        <v/>
      </c>
      <c r="E46" s="65">
        <f>REDONDEAR('Flujo del Fondo'!H123/1000000,1)</f>
        <v/>
      </c>
      <c r="F46" s="32">
        <f>'Flujo del Fondo'!K123</f>
        <v/>
      </c>
      <c r="G46" s="32">
        <f>'Flujo del Fondo'!L123</f>
        <v/>
      </c>
      <c r="H46" s="32">
        <f>'Flujo del Fondo'!J123</f>
        <v/>
      </c>
    </row>
    <row r="47">
      <c r="B47" s="32" t="n">
        <v>11</v>
      </c>
      <c r="C47" s="65">
        <f>REDONDEAR('Flujo del Fondo'!E135/1000000,1)</f>
        <v/>
      </c>
      <c r="D47" s="65">
        <f>REDONDEAR('Flujo del Fondo'!G135/1000000,1)</f>
        <v/>
      </c>
      <c r="E47" s="65">
        <f>REDONDEAR('Flujo del Fondo'!H135/1000000,1)</f>
        <v/>
      </c>
      <c r="F47" s="32">
        <f>'Flujo del Fondo'!K135</f>
        <v/>
      </c>
      <c r="G47" s="32">
        <f>'Flujo del Fondo'!L135</f>
        <v/>
      </c>
      <c r="H47" s="32">
        <f>'Flujo del Fondo'!J135</f>
        <v/>
      </c>
    </row>
    <row r="48">
      <c r="B48" s="32" t="n">
        <v>12</v>
      </c>
      <c r="C48" s="65">
        <f>REDONDEAR('Flujo del Fondo'!E147/1000000,1)</f>
        <v/>
      </c>
      <c r="D48" s="65">
        <f>REDONDEAR('Flujo del Fondo'!G147/1000000,1)</f>
        <v/>
      </c>
      <c r="E48" s="65">
        <f>REDONDEAR('Flujo del Fondo'!H147/1000000,1)</f>
        <v/>
      </c>
      <c r="F48" s="32">
        <f>'Flujo del Fondo'!K147</f>
        <v/>
      </c>
      <c r="G48" s="32">
        <f>'Flujo del Fondo'!L147</f>
        <v/>
      </c>
      <c r="H48" s="32">
        <f>'Flujo del Fondo'!J147</f>
        <v/>
      </c>
    </row>
    <row r="49">
      <c r="B49" s="32" t="n">
        <v>13</v>
      </c>
      <c r="C49" s="65">
        <f>REDONDEAR('Flujo del Fondo'!E159/1000000,1)</f>
        <v/>
      </c>
      <c r="D49" s="65">
        <f>REDONDEAR('Flujo del Fondo'!G159/1000000,1)</f>
        <v/>
      </c>
      <c r="E49" s="65">
        <f>REDONDEAR('Flujo del Fondo'!H159/1000000,1)</f>
        <v/>
      </c>
      <c r="F49" s="32">
        <f>'Flujo del Fondo'!K159</f>
        <v/>
      </c>
      <c r="G49" s="32">
        <f>'Flujo del Fondo'!L159</f>
        <v/>
      </c>
      <c r="H49" s="32">
        <f>'Flujo del Fondo'!J159</f>
        <v/>
      </c>
    </row>
    <row r="50">
      <c r="B50" s="32" t="n">
        <v>14</v>
      </c>
      <c r="C50" s="65">
        <f>REDONDEAR('Flujo del Fondo'!E171/1000000,1)</f>
        <v/>
      </c>
      <c r="D50" s="65">
        <f>REDONDEAR('Flujo del Fondo'!G171/1000000,1)</f>
        <v/>
      </c>
      <c r="E50" s="65">
        <f>REDONDEAR('Flujo del Fondo'!H171/1000000,1)</f>
        <v/>
      </c>
      <c r="F50" s="32">
        <f>'Flujo del Fondo'!K171</f>
        <v/>
      </c>
      <c r="G50" s="32">
        <f>'Flujo del Fondo'!L171</f>
        <v/>
      </c>
      <c r="H50" s="32">
        <f>'Flujo del Fondo'!J171</f>
        <v/>
      </c>
    </row>
    <row r="51">
      <c r="B51" s="32" t="n">
        <v>15</v>
      </c>
      <c r="C51" s="65">
        <f>REDONDEAR('Flujo del Fondo'!E183/1000000,1)</f>
        <v/>
      </c>
      <c r="D51" s="65">
        <f>REDONDEAR('Flujo del Fondo'!G183/1000000,1)</f>
        <v/>
      </c>
      <c r="E51" s="65">
        <f>REDONDEAR('Flujo del Fondo'!H183/1000000,1)</f>
        <v/>
      </c>
      <c r="F51" s="32">
        <f>'Flujo del Fondo'!K183</f>
        <v/>
      </c>
      <c r="G51" s="32">
        <f>'Flujo del Fondo'!L183</f>
        <v/>
      </c>
      <c r="H51" s="32">
        <f>'Flujo del Fondo'!J183</f>
        <v/>
      </c>
    </row>
  </sheetData>
  <mergeCells count="68">
    <mergeCell ref="F11:G11"/>
    <mergeCell ref="B16:C16"/>
    <mergeCell ref="D10:E10"/>
    <mergeCell ref="B7:C7"/>
    <mergeCell ref="F29:G29"/>
    <mergeCell ref="F10:G10"/>
    <mergeCell ref="F16:G16"/>
    <mergeCell ref="H10:I10"/>
    <mergeCell ref="H29:I29"/>
    <mergeCell ref="B22:C22"/>
    <mergeCell ref="F6:G6"/>
    <mergeCell ref="D22:E22"/>
    <mergeCell ref="B18:C18"/>
    <mergeCell ref="B27:I27"/>
    <mergeCell ref="H30:I30"/>
    <mergeCell ref="F7:G7"/>
    <mergeCell ref="B12:C12"/>
    <mergeCell ref="D6:E6"/>
    <mergeCell ref="F12:G12"/>
    <mergeCell ref="B21:I21"/>
    <mergeCell ref="H6:I6"/>
    <mergeCell ref="F24:G24"/>
    <mergeCell ref="B11:C11"/>
    <mergeCell ref="F30:G30"/>
    <mergeCell ref="A2:R2"/>
    <mergeCell ref="D11:E11"/>
    <mergeCell ref="F5:G5"/>
    <mergeCell ref="F18:G18"/>
    <mergeCell ref="B23:C23"/>
    <mergeCell ref="B17:C17"/>
    <mergeCell ref="D17:E17"/>
    <mergeCell ref="F17:G17"/>
    <mergeCell ref="H17:I17"/>
    <mergeCell ref="H11:I11"/>
    <mergeCell ref="D16:E16"/>
    <mergeCell ref="D7:E7"/>
    <mergeCell ref="B29:C29"/>
    <mergeCell ref="H16:I16"/>
    <mergeCell ref="H7:I7"/>
    <mergeCell ref="B35:D35"/>
    <mergeCell ref="B10:C10"/>
    <mergeCell ref="F23:G23"/>
    <mergeCell ref="B28:C28"/>
    <mergeCell ref="D28:E28"/>
    <mergeCell ref="F22:G22"/>
    <mergeCell ref="F28:G28"/>
    <mergeCell ref="D18:E18"/>
    <mergeCell ref="H22:I22"/>
    <mergeCell ref="H28:I28"/>
    <mergeCell ref="D12:E12"/>
    <mergeCell ref="B9:I9"/>
    <mergeCell ref="B6:C6"/>
    <mergeCell ref="H12:I12"/>
    <mergeCell ref="B24:C24"/>
    <mergeCell ref="B30:C30"/>
    <mergeCell ref="D24:E24"/>
    <mergeCell ref="B15:I15"/>
    <mergeCell ref="D30:E30"/>
    <mergeCell ref="B5:C5"/>
    <mergeCell ref="H24:I24"/>
    <mergeCell ref="D29:E29"/>
    <mergeCell ref="D5:E5"/>
    <mergeCell ref="H18:I18"/>
    <mergeCell ref="D23:E23"/>
    <mergeCell ref="H5:I5"/>
    <mergeCell ref="H23:I23"/>
    <mergeCell ref="A1:R1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tabSelected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3" customWidth="1" min="5" max="5"/>
  </cols>
  <sheetData>
    <row r="1" ht="30" customHeight="1">
      <c r="A1" s="66" t="inlineStr">
        <is>
          <t>ESCENARIOS COMPARATIVOS — Fondo Mutualista de Suelo Urbano</t>
        </is>
      </c>
    </row>
    <row r="2" ht="18" customHeight="1">
      <c r="A2" s="67" t="inlineStr">
        <is>
          <t>Los escenarios calculan KPIs directamente con sus parámetros propios. NO sobreescriben la hoja Parámetros.</t>
        </is>
      </c>
    </row>
    <row r="4" ht="36" customHeight="1">
      <c r="A4" s="68" t="inlineStr">
        <is>
          <t>KPI / Indicador</t>
        </is>
      </c>
      <c r="B4" s="69" t="inlineStr">
        <is>
          <t>Escenario 1
MÍNIMO VIABLE</t>
        </is>
      </c>
      <c r="C4" s="45" t="inlineStr">
        <is>
          <t>Escenario 2
BASE</t>
        </is>
      </c>
      <c r="D4" s="55" t="inlineStr">
        <is>
          <t>Escenario 3
ESCALA</t>
        </is>
      </c>
    </row>
    <row r="5" ht="18" customHeight="1">
      <c r="A5" s="4" t="inlineStr">
        <is>
          <t>── PARÁMETROS ──</t>
        </is>
      </c>
      <c r="B5" s="70" t="inlineStr"/>
      <c r="C5" s="71" t="inlineStr"/>
      <c r="D5" s="72" t="inlineStr"/>
    </row>
    <row r="6" ht="18" customHeight="1">
      <c r="A6" s="73" t="inlineStr">
        <is>
          <t>Familias participantes</t>
        </is>
      </c>
      <c r="B6" s="74" t="n">
        <v>200</v>
      </c>
      <c r="C6" s="75" t="n">
        <v>500</v>
      </c>
      <c r="D6" s="76" t="n">
        <v>1000</v>
      </c>
    </row>
    <row r="7" ht="18" customHeight="1">
      <c r="A7" s="73" t="inlineStr">
        <is>
          <t>Cuota mensual (CLP)</t>
        </is>
      </c>
      <c r="B7" s="74" t="n">
        <v>30000</v>
      </c>
      <c r="C7" s="75" t="n">
        <v>30000</v>
      </c>
      <c r="D7" s="76" t="n">
        <v>35000</v>
      </c>
    </row>
    <row r="8" ht="18" customHeight="1">
      <c r="A8" s="73" t="inlineStr">
        <is>
          <t>Capital Capa 2 (CLP)</t>
        </is>
      </c>
      <c r="B8" s="74" t="n">
        <v>200000000</v>
      </c>
      <c r="C8" s="75" t="n">
        <v>500000000</v>
      </c>
      <c r="D8" s="76" t="n">
        <v>1500000000</v>
      </c>
    </row>
    <row r="9" ht="18" customHeight="1">
      <c r="A9" s="73" t="inlineStr">
        <is>
          <t>% familias con subsidio</t>
        </is>
      </c>
      <c r="B9" s="77" t="n">
        <v>0</v>
      </c>
      <c r="C9" s="78" t="n">
        <v>0.6</v>
      </c>
      <c r="D9" s="79" t="n">
        <v>0.8</v>
      </c>
    </row>
    <row r="10" ht="18" customHeight="1">
      <c r="A10" s="4" t="inlineStr">
        <is>
          <t>Descripción</t>
        </is>
      </c>
      <c r="B10" s="70" t="inlineStr"/>
      <c r="C10" s="71" t="inlineStr"/>
      <c r="D10" s="72" t="inlineStr"/>
    </row>
    <row r="11" ht="30" customHeight="1">
      <c r="A11" s="73" t="inlineStr">
        <is>
          <t>Descripción</t>
        </is>
      </c>
      <c r="B11" s="80" t="inlineStr">
        <is>
          <t>200 familias, sin subsidio estatal, capital paciente 200M</t>
        </is>
      </c>
      <c r="C11" s="81" t="inlineStr">
        <is>
          <t>500 familias, subsidio 60%, capital paciente 500M</t>
        </is>
      </c>
      <c r="D11" s="82" t="inlineStr">
        <is>
          <t>1.000 familias, subsidio 80%, capital paciente 1.500M</t>
        </is>
      </c>
    </row>
    <row r="12" ht="20" customHeight="1">
      <c r="A12" s="83" t="inlineStr">
        <is>
          <t>── TERRENOS ADQUIRIDOS ──</t>
        </is>
      </c>
      <c r="B12" s="84" t="n"/>
      <c r="C12" s="84" t="n"/>
      <c r="D12" s="84" t="n"/>
    </row>
    <row r="13" ht="18" customHeight="1">
      <c r="A13" s="73" t="inlineStr">
        <is>
          <t>Terrenos a 3 años (mes 36)</t>
        </is>
      </c>
      <c r="B13" s="85">
        <f>LET(des_mes,(1-0.05)^(1/12),acum_c1,30000*200*(1-des_mes^36)/(1-des_mes),acum_c2,MIN(200000000,acum_c1*3),sub_por_t,25*0.0*800*38000*1.0,precio_adj,120000000*(1+0.05)^(36/12),cap_pre,acum_c1+acum_c2,terr_pre,MAX(0,ENTERO(cap_pre/precio_adj)),cap_total,acum_c1+acum_c2+terr_pre*sub_por_t,terrenos,MAX(0,ENTERO(cap_total/precio_adj)),fam_ubic,terrenos*25,fam_act,REDONDEAR(200*des_mes^36,0),fam_esp,MAX(0,fam_act-fam_ubic),canon_adj,25000*(1+0.03)^(36/12),canon_mes,fam_ubic*canon_adj,serv_deuda,IF(36&lt;=12,0,acum_c2*0.05/12),flujo_neto,30000*fam_act+canon_mes-serv_deuda,terrenos)</f>
        <v/>
      </c>
      <c r="C13" s="86">
        <f>LET(des_mes,(1-0.05)^(1/12),acum_c1,30000*500*(1-des_mes^36)/(1-des_mes),acum_c2,MIN(500000000,acum_c1*3),sub_por_t,25*0.6*800*38000*1.0,precio_adj,120000000*(1+0.05)^(36/12),cap_pre,acum_c1+acum_c2,terr_pre,MAX(0,ENTERO(cap_pre/precio_adj)),cap_total,acum_c1+acum_c2+terr_pre*sub_por_t,terrenos,MAX(0,ENTERO(cap_total/precio_adj)),fam_ubic,terrenos*25,fam_act,REDONDEAR(500*des_mes^36,0),fam_esp,MAX(0,fam_act-fam_ubic),canon_adj,25000*(1+0.03)^(36/12),canon_mes,fam_ubic*canon_adj,serv_deuda,IF(36&lt;=12,0,acum_c2*0.05/12),flujo_neto,30000*fam_act+canon_mes-serv_deuda,terrenos)</f>
        <v/>
      </c>
      <c r="D13" s="87">
        <f>LET(des_mes,(1-0.05)^(1/12),acum_c1,35000*1000*(1-des_mes^36)/(1-des_mes),acum_c2,MIN(1500000000,acum_c1*3),sub_por_t,25*0.8*800*38000*1.0,precio_adj,120000000*(1+0.05)^(36/12),cap_pre,acum_c1+acum_c2,terr_pre,MAX(0,ENTERO(cap_pre/precio_adj)),cap_total,acum_c1+acum_c2+terr_pre*sub_por_t,terrenos,MAX(0,ENTERO(cap_total/precio_adj)),fam_ubic,terrenos*25,fam_act,REDONDEAR(1000*des_mes^36,0),fam_esp,MAX(0,fam_act-fam_ubic),canon_adj,25000*(1+0.03)^(36/12),canon_mes,fam_ubic*canon_adj,serv_deuda,IF(36&lt;=12,0,acum_c2*0.05/12),flujo_neto,35000*fam_act+canon_mes-serv_deuda,terrenos)</f>
        <v/>
      </c>
    </row>
    <row r="14" ht="18" customHeight="1">
      <c r="A14" s="73" t="inlineStr">
        <is>
          <t>Terrenos a 5 años (mes 60)</t>
        </is>
      </c>
      <c r="B14" s="85">
        <f>LET(des_mes,(1-0.05)^(1/12),acum_c1,30000*200*(1-des_mes^60)/(1-des_mes),acum_c2,MIN(200000000,acum_c1*3),sub_por_t,25*0.0*800*38000*1.0,precio_adj,120000000*(1+0.05)^(60/12),cap_pre,acum_c1+acum_c2,terr_pre,MAX(0,ENTERO(cap_pre/precio_adj)),cap_total,acum_c1+acum_c2+terr_pre*sub_por_t,terrenos,MAX(0,ENTERO(cap_total/precio_adj)),fam_ubic,terrenos*25,fam_act,REDONDEAR(200*des_mes^60,0),fam_esp,MAX(0,fam_act-fam_ubic),canon_adj,25000*(1+0.03)^(60/12),canon_mes,fam_ubic*canon_adj,serv_deuda,IF(60&lt;=12,0,acum_c2*0.05/12),flujo_neto,30000*fam_act+canon_mes-serv_deuda,terrenos)</f>
        <v/>
      </c>
      <c r="C14" s="86">
        <f>LET(des_mes,(1-0.05)^(1/12),acum_c1,30000*500*(1-des_mes^60)/(1-des_mes),acum_c2,MIN(500000000,acum_c1*3),sub_por_t,25*0.6*800*38000*1.0,precio_adj,120000000*(1+0.05)^(60/12),cap_pre,acum_c1+acum_c2,terr_pre,MAX(0,ENTERO(cap_pre/precio_adj)),cap_total,acum_c1+acum_c2+terr_pre*sub_por_t,terrenos,MAX(0,ENTERO(cap_total/precio_adj)),fam_ubic,terrenos*25,fam_act,REDONDEAR(500*des_mes^60,0),fam_esp,MAX(0,fam_act-fam_ubic),canon_adj,25000*(1+0.03)^(60/12),canon_mes,fam_ubic*canon_adj,serv_deuda,IF(60&lt;=12,0,acum_c2*0.05/12),flujo_neto,30000*fam_act+canon_mes-serv_deuda,terrenos)</f>
        <v/>
      </c>
      <c r="D14" s="87">
        <f>LET(des_mes,(1-0.05)^(1/12),acum_c1,35000*1000*(1-des_mes^60)/(1-des_mes),acum_c2,MIN(1500000000,acum_c1*3),sub_por_t,25*0.8*800*38000*1.0,precio_adj,120000000*(1+0.05)^(60/12),cap_pre,acum_c1+acum_c2,terr_pre,MAX(0,ENTERO(cap_pre/precio_adj)),cap_total,acum_c1+acum_c2+terr_pre*sub_por_t,terrenos,MAX(0,ENTERO(cap_total/precio_adj)),fam_ubic,terrenos*25,fam_act,REDONDEAR(1000*des_mes^60,0),fam_esp,MAX(0,fam_act-fam_ubic),canon_adj,25000*(1+0.03)^(60/12),canon_mes,fam_ubic*canon_adj,serv_deuda,IF(60&lt;=12,0,acum_c2*0.05/12),flujo_neto,35000*fam_act+canon_mes-serv_deuda,terrenos)</f>
        <v/>
      </c>
    </row>
    <row r="15" ht="18" customHeight="1">
      <c r="A15" s="73" t="inlineStr">
        <is>
          <t>Terrenos a 10 años (mes 120)</t>
        </is>
      </c>
      <c r="B15" s="85">
        <f>LET(des_mes,(1-0.05)^(1/12),acum_c1,30000*200*(1-des_mes^120)/(1-des_mes),acum_c2,MIN(200000000,acum_c1*3),sub_por_t,25*0.0*800*38000*1.0,precio_adj,120000000*(1+0.05)^(120/12),cap_pre,acum_c1+acum_c2,terr_pre,MAX(0,ENTERO(cap_pre/precio_adj)),cap_total,acum_c1+acum_c2+terr_pre*sub_por_t,terrenos,MAX(0,ENTERO(cap_total/precio_adj)),fam_ubic,terrenos*25,fam_act,REDONDEAR(200*des_mes^120,0),fam_esp,MAX(0,fam_act-fam_ubic),canon_adj,25000*(1+0.03)^(120/12),canon_mes,fam_ubic*canon_adj,serv_deuda,IF(120&lt;=12,0,acum_c2*0.05/12),flujo_neto,30000*fam_act+canon_mes-serv_deuda,terrenos)</f>
        <v/>
      </c>
      <c r="C15" s="86">
        <f>LET(des_mes,(1-0.05)^(1/12),acum_c1,30000*500*(1-des_mes^120)/(1-des_mes),acum_c2,MIN(500000000,acum_c1*3),sub_por_t,25*0.6*800*38000*1.0,precio_adj,120000000*(1+0.05)^(120/12),cap_pre,acum_c1+acum_c2,terr_pre,MAX(0,ENTERO(cap_pre/precio_adj)),cap_total,acum_c1+acum_c2+terr_pre*sub_por_t,terrenos,MAX(0,ENTERO(cap_total/precio_adj)),fam_ubic,terrenos*25,fam_act,REDONDEAR(500*des_mes^120,0),fam_esp,MAX(0,fam_act-fam_ubic),canon_adj,25000*(1+0.03)^(120/12),canon_mes,fam_ubic*canon_adj,serv_deuda,IF(120&lt;=12,0,acum_c2*0.05/12),flujo_neto,30000*fam_act+canon_mes-serv_deuda,terrenos)</f>
        <v/>
      </c>
      <c r="D15" s="87">
        <f>LET(des_mes,(1-0.05)^(1/12),acum_c1,35000*1000*(1-des_mes^120)/(1-des_mes),acum_c2,MIN(1500000000,acum_c1*3),sub_por_t,25*0.8*800*38000*1.0,precio_adj,120000000*(1+0.05)^(120/12),cap_pre,acum_c1+acum_c2,terr_pre,MAX(0,ENTERO(cap_pre/precio_adj)),cap_total,acum_c1+acum_c2+terr_pre*sub_por_t,terrenos,MAX(0,ENTERO(cap_total/precio_adj)),fam_ubic,terrenos*25,fam_act,REDONDEAR(1000*des_mes^120,0),fam_esp,MAX(0,fam_act-fam_ubic),canon_adj,25000*(1+0.03)^(120/12),canon_mes,fam_ubic*canon_adj,serv_deuda,IF(120&lt;=12,0,acum_c2*0.05/12),flujo_neto,35000*fam_act+canon_mes-serv_deuda,terrenos)</f>
        <v/>
      </c>
    </row>
    <row r="16" ht="18" customHeight="1">
      <c r="A16" s="73" t="inlineStr">
        <is>
          <t>Terrenos a 15 años (mes 180)</t>
        </is>
      </c>
      <c r="B16" s="85">
        <f>LET(des_mes,(1-0.05)^(1/12),acum_c1,30000*200*(1-des_mes^180)/(1-des_mes),acum_c2,MIN(200000000,acum_c1*3),sub_por_t,25*0.0*800*38000*1.0,precio_adj,120000000*(1+0.05)^(180/12),cap_pre,acum_c1+acum_c2,terr_pre,MAX(0,ENTERO(cap_pre/precio_adj)),cap_total,acum_c1+acum_c2+terr_pre*sub_por_t,terrenos,MAX(0,ENTERO(cap_total/precio_adj)),fam_ubic,terrenos*25,fam_act,REDONDEAR(200*des_mes^180,0),fam_esp,MAX(0,fam_act-fam_ubic),canon_adj,25000*(1+0.03)^(180/12),canon_mes,fam_ubic*canon_adj,serv_deuda,IF(180&lt;=12,0,acum_c2*0.05/12),flujo_neto,30000*fam_act+canon_mes-serv_deuda,terrenos)</f>
        <v/>
      </c>
      <c r="C16" s="86">
        <f>LET(des_mes,(1-0.05)^(1/12),acum_c1,30000*500*(1-des_mes^180)/(1-des_mes),acum_c2,MIN(500000000,acum_c1*3),sub_por_t,25*0.6*800*38000*1.0,precio_adj,120000000*(1+0.05)^(180/12),cap_pre,acum_c1+acum_c2,terr_pre,MAX(0,ENTERO(cap_pre/precio_adj)),cap_total,acum_c1+acum_c2+terr_pre*sub_por_t,terrenos,MAX(0,ENTERO(cap_total/precio_adj)),fam_ubic,terrenos*25,fam_act,REDONDEAR(500*des_mes^180,0),fam_esp,MAX(0,fam_act-fam_ubic),canon_adj,25000*(1+0.03)^(180/12),canon_mes,fam_ubic*canon_adj,serv_deuda,IF(180&lt;=12,0,acum_c2*0.05/12),flujo_neto,30000*fam_act+canon_mes-serv_deuda,terrenos)</f>
        <v/>
      </c>
      <c r="D16" s="87">
        <f>LET(des_mes,(1-0.05)^(1/12),acum_c1,35000*1000*(1-des_mes^180)/(1-des_mes),acum_c2,MIN(1500000000,acum_c1*3),sub_por_t,25*0.8*800*38000*1.0,precio_adj,120000000*(1+0.05)^(180/12),cap_pre,acum_c1+acum_c2,terr_pre,MAX(0,ENTERO(cap_pre/precio_adj)),cap_total,acum_c1+acum_c2+terr_pre*sub_por_t,terrenos,MAX(0,ENTERO(cap_total/precio_adj)),fam_ubic,terrenos*25,fam_act,REDONDEAR(1000*des_mes^180,0),fam_esp,MAX(0,fam_act-fam_ubic),canon_adj,25000*(1+0.03)^(180/12),canon_mes,fam_ubic*canon_adj,serv_deuda,IF(180&lt;=12,0,acum_c2*0.05/12),flujo_neto,35000*fam_act+canon_mes-serv_deuda,terrenos)</f>
        <v/>
      </c>
    </row>
    <row r="17" ht="20" customHeight="1">
      <c r="A17" s="83" t="inlineStr">
        <is>
          <t>── FAMILIAS UBICADAS ──</t>
        </is>
      </c>
      <c r="B17" s="84" t="n"/>
      <c r="C17" s="84" t="n"/>
      <c r="D17" s="84" t="n"/>
    </row>
    <row r="18" ht="18" customHeight="1">
      <c r="A18" s="73" t="inlineStr">
        <is>
          <t>Familias ubicadas a 3 años</t>
        </is>
      </c>
      <c r="B18" s="88">
        <f>LET(des_mes,(1-0.05)^(1/12),acum_c1,30000*200*(1-des_mes^36)/(1-des_mes),acum_c2,MIN(200000000,acum_c1*3),sub_por_t,25*0.0*800*38000*1.0,precio_adj,120000000*(1+0.05)^(36/12),cap_pre,acum_c1+acum_c2,terr_pre,MAX(0,ENTERO(cap_pre/precio_adj)),cap_total,acum_c1+acum_c2+terr_pre*sub_por_t,terrenos,MAX(0,ENTERO(cap_total/precio_adj)),fam_ubic,terrenos*25,fam_act,REDONDEAR(200*des_mes^36,0),fam_esp,MAX(0,fam_act-fam_ubic),canon_adj,25000*(1+0.03)^(36/12),canon_mes,fam_ubic*canon_adj,serv_deuda,IF(36&lt;=12,0,acum_c2*0.05/12),flujo_neto,30000*fam_act+canon_mes-serv_deuda,fam_ubic)</f>
        <v/>
      </c>
      <c r="C18" s="89">
        <f>LET(des_mes,(1-0.05)^(1/12),acum_c1,30000*500*(1-des_mes^36)/(1-des_mes),acum_c2,MIN(500000000,acum_c1*3),sub_por_t,25*0.6*800*38000*1.0,precio_adj,120000000*(1+0.05)^(36/12),cap_pre,acum_c1+acum_c2,terr_pre,MAX(0,ENTERO(cap_pre/precio_adj)),cap_total,acum_c1+acum_c2+terr_pre*sub_por_t,terrenos,MAX(0,ENTERO(cap_total/precio_adj)),fam_ubic,terrenos*25,fam_act,REDONDEAR(500*des_mes^36,0),fam_esp,MAX(0,fam_act-fam_ubic),canon_adj,25000*(1+0.03)^(36/12),canon_mes,fam_ubic*canon_adj,serv_deuda,IF(36&lt;=12,0,acum_c2*0.05/12),flujo_neto,30000*fam_act+canon_mes-serv_deuda,fam_ubic)</f>
        <v/>
      </c>
      <c r="D18" s="90">
        <f>LET(des_mes,(1-0.05)^(1/12),acum_c1,35000*1000*(1-des_mes^36)/(1-des_mes),acum_c2,MIN(1500000000,acum_c1*3),sub_por_t,25*0.8*800*38000*1.0,precio_adj,120000000*(1+0.05)^(36/12),cap_pre,acum_c1+acum_c2,terr_pre,MAX(0,ENTERO(cap_pre/precio_adj)),cap_total,acum_c1+acum_c2+terr_pre*sub_por_t,terrenos,MAX(0,ENTERO(cap_total/precio_adj)),fam_ubic,terrenos*25,fam_act,REDONDEAR(1000*des_mes^36,0),fam_esp,MAX(0,fam_act-fam_ubic),canon_adj,25000*(1+0.03)^(36/12),canon_mes,fam_ubic*canon_adj,serv_deuda,IF(36&lt;=12,0,acum_c2*0.05/12),flujo_neto,35000*fam_act+canon_mes-serv_deuda,fam_ubic)</f>
        <v/>
      </c>
    </row>
    <row r="19" ht="18" customHeight="1">
      <c r="A19" s="73" t="inlineStr">
        <is>
          <t>Familias ubicadas a 5 años</t>
        </is>
      </c>
      <c r="B19" s="88">
        <f>LET(des_mes,(1-0.05)^(1/12),acum_c1,30000*200*(1-des_mes^60)/(1-des_mes),acum_c2,MIN(200000000,acum_c1*3),sub_por_t,25*0.0*800*38000*1.0,precio_adj,120000000*(1+0.05)^(60/12),cap_pre,acum_c1+acum_c2,terr_pre,MAX(0,ENTERO(cap_pre/precio_adj)),cap_total,acum_c1+acum_c2+terr_pre*sub_por_t,terrenos,MAX(0,ENTERO(cap_total/precio_adj)),fam_ubic,terrenos*25,fam_act,REDONDEAR(200*des_mes^60,0),fam_esp,MAX(0,fam_act-fam_ubic),canon_adj,25000*(1+0.03)^(60/12),canon_mes,fam_ubic*canon_adj,serv_deuda,IF(60&lt;=12,0,acum_c2*0.05/12),flujo_neto,30000*fam_act+canon_mes-serv_deuda,fam_ubic)</f>
        <v/>
      </c>
      <c r="C19" s="89">
        <f>LET(des_mes,(1-0.05)^(1/12),acum_c1,30000*500*(1-des_mes^60)/(1-des_mes),acum_c2,MIN(500000000,acum_c1*3),sub_por_t,25*0.6*800*38000*1.0,precio_adj,120000000*(1+0.05)^(60/12),cap_pre,acum_c1+acum_c2,terr_pre,MAX(0,ENTERO(cap_pre/precio_adj)),cap_total,acum_c1+acum_c2+terr_pre*sub_por_t,terrenos,MAX(0,ENTERO(cap_total/precio_adj)),fam_ubic,terrenos*25,fam_act,REDONDEAR(500*des_mes^60,0),fam_esp,MAX(0,fam_act-fam_ubic),canon_adj,25000*(1+0.03)^(60/12),canon_mes,fam_ubic*canon_adj,serv_deuda,IF(60&lt;=12,0,acum_c2*0.05/12),flujo_neto,30000*fam_act+canon_mes-serv_deuda,fam_ubic)</f>
        <v/>
      </c>
      <c r="D19" s="90">
        <f>LET(des_mes,(1-0.05)^(1/12),acum_c1,35000*1000*(1-des_mes^60)/(1-des_mes),acum_c2,MIN(1500000000,acum_c1*3),sub_por_t,25*0.8*800*38000*1.0,precio_adj,120000000*(1+0.05)^(60/12),cap_pre,acum_c1+acum_c2,terr_pre,MAX(0,ENTERO(cap_pre/precio_adj)),cap_total,acum_c1+acum_c2+terr_pre*sub_por_t,terrenos,MAX(0,ENTERO(cap_total/precio_adj)),fam_ubic,terrenos*25,fam_act,REDONDEAR(1000*des_mes^60,0),fam_esp,MAX(0,fam_act-fam_ubic),canon_adj,25000*(1+0.03)^(60/12),canon_mes,fam_ubic*canon_adj,serv_deuda,IF(60&lt;=12,0,acum_c2*0.05/12),flujo_neto,35000*fam_act+canon_mes-serv_deuda,fam_ubic)</f>
        <v/>
      </c>
    </row>
    <row r="20" ht="18" customHeight="1">
      <c r="A20" s="73" t="inlineStr">
        <is>
          <t>Familias ubicadas a 10 años</t>
        </is>
      </c>
      <c r="B20" s="88">
        <f>LET(des_mes,(1-0.05)^(1/12),acum_c1,30000*200*(1-des_mes^120)/(1-des_mes),acum_c2,MIN(200000000,acum_c1*3),sub_por_t,25*0.0*800*38000*1.0,precio_adj,120000000*(1+0.05)^(120/12),cap_pre,acum_c1+acum_c2,terr_pre,MAX(0,ENTERO(cap_pre/precio_adj)),cap_total,acum_c1+acum_c2+terr_pre*sub_por_t,terrenos,MAX(0,ENTERO(cap_total/precio_adj)),fam_ubic,terrenos*25,fam_act,REDONDEAR(200*des_mes^120,0),fam_esp,MAX(0,fam_act-fam_ubic),canon_adj,25000*(1+0.03)^(120/12),canon_mes,fam_ubic*canon_adj,serv_deuda,IF(120&lt;=12,0,acum_c2*0.05/12),flujo_neto,30000*fam_act+canon_mes-serv_deuda,fam_ubic)</f>
        <v/>
      </c>
      <c r="C20" s="89">
        <f>LET(des_mes,(1-0.05)^(1/12),acum_c1,30000*500*(1-des_mes^120)/(1-des_mes),acum_c2,MIN(500000000,acum_c1*3),sub_por_t,25*0.6*800*38000*1.0,precio_adj,120000000*(1+0.05)^(120/12),cap_pre,acum_c1+acum_c2,terr_pre,MAX(0,ENTERO(cap_pre/precio_adj)),cap_total,acum_c1+acum_c2+terr_pre*sub_por_t,terrenos,MAX(0,ENTERO(cap_total/precio_adj)),fam_ubic,terrenos*25,fam_act,REDONDEAR(500*des_mes^120,0),fam_esp,MAX(0,fam_act-fam_ubic),canon_adj,25000*(1+0.03)^(120/12),canon_mes,fam_ubic*canon_adj,serv_deuda,IF(120&lt;=12,0,acum_c2*0.05/12),flujo_neto,30000*fam_act+canon_mes-serv_deuda,fam_ubic)</f>
        <v/>
      </c>
      <c r="D20" s="90">
        <f>LET(des_mes,(1-0.05)^(1/12),acum_c1,35000*1000*(1-des_mes^120)/(1-des_mes),acum_c2,MIN(1500000000,acum_c1*3),sub_por_t,25*0.8*800*38000*1.0,precio_adj,120000000*(1+0.05)^(120/12),cap_pre,acum_c1+acum_c2,terr_pre,MAX(0,ENTERO(cap_pre/precio_adj)),cap_total,acum_c1+acum_c2+terr_pre*sub_por_t,terrenos,MAX(0,ENTERO(cap_total/precio_adj)),fam_ubic,terrenos*25,fam_act,REDONDEAR(1000*des_mes^120,0),fam_esp,MAX(0,fam_act-fam_ubic),canon_adj,25000*(1+0.03)^(120/12),canon_mes,fam_ubic*canon_adj,serv_deuda,IF(120&lt;=12,0,acum_c2*0.05/12),flujo_neto,35000*fam_act+canon_mes-serv_deuda,fam_ubic)</f>
        <v/>
      </c>
    </row>
    <row r="21" ht="18" customHeight="1">
      <c r="A21" s="73" t="inlineStr">
        <is>
          <t>Familias ubicadas a 15 años</t>
        </is>
      </c>
      <c r="B21" s="88">
        <f>LET(des_mes,(1-0.05)^(1/12),acum_c1,30000*200*(1-des_mes^180)/(1-des_mes),acum_c2,MIN(200000000,acum_c1*3),sub_por_t,25*0.0*800*38000*1.0,precio_adj,120000000*(1+0.05)^(180/12),cap_pre,acum_c1+acum_c2,terr_pre,MAX(0,ENTERO(cap_pre/precio_adj)),cap_total,acum_c1+acum_c2+terr_pre*sub_por_t,terrenos,MAX(0,ENTERO(cap_total/precio_adj)),fam_ubic,terrenos*25,fam_act,REDONDEAR(200*des_mes^180,0),fam_esp,MAX(0,fam_act-fam_ubic),canon_adj,25000*(1+0.03)^(180/12),canon_mes,fam_ubic*canon_adj,serv_deuda,IF(180&lt;=12,0,acum_c2*0.05/12),flujo_neto,30000*fam_act+canon_mes-serv_deuda,fam_ubic)</f>
        <v/>
      </c>
      <c r="C21" s="89">
        <f>LET(des_mes,(1-0.05)^(1/12),acum_c1,30000*500*(1-des_mes^180)/(1-des_mes),acum_c2,MIN(500000000,acum_c1*3),sub_por_t,25*0.6*800*38000*1.0,precio_adj,120000000*(1+0.05)^(180/12),cap_pre,acum_c1+acum_c2,terr_pre,MAX(0,ENTERO(cap_pre/precio_adj)),cap_total,acum_c1+acum_c2+terr_pre*sub_por_t,terrenos,MAX(0,ENTERO(cap_total/precio_adj)),fam_ubic,terrenos*25,fam_act,REDONDEAR(500*des_mes^180,0),fam_esp,MAX(0,fam_act-fam_ubic),canon_adj,25000*(1+0.03)^(180/12),canon_mes,fam_ubic*canon_adj,serv_deuda,IF(180&lt;=12,0,acum_c2*0.05/12),flujo_neto,30000*fam_act+canon_mes-serv_deuda,fam_ubic)</f>
        <v/>
      </c>
      <c r="D21" s="90">
        <f>LET(des_mes,(1-0.05)^(1/12),acum_c1,35000*1000*(1-des_mes^180)/(1-des_mes),acum_c2,MIN(1500000000,acum_c1*3),sub_por_t,25*0.8*800*38000*1.0,precio_adj,120000000*(1+0.05)^(180/12),cap_pre,acum_c1+acum_c2,terr_pre,MAX(0,ENTERO(cap_pre/precio_adj)),cap_total,acum_c1+acum_c2+terr_pre*sub_por_t,terrenos,MAX(0,ENTERO(cap_total/precio_adj)),fam_ubic,terrenos*25,fam_act,REDONDEAR(1000*des_mes^180,0),fam_esp,MAX(0,fam_act-fam_ubic),canon_adj,25000*(1+0.03)^(180/12),canon_mes,fam_ubic*canon_adj,serv_deuda,IF(180&lt;=12,0,acum_c2*0.05/12),flujo_neto,35000*fam_act+canon_mes-serv_deuda,fam_ubic)</f>
        <v/>
      </c>
    </row>
    <row r="22" ht="20" customHeight="1">
      <c r="A22" s="83" t="inlineStr">
        <is>
          <t>── CAPITAL ──</t>
        </is>
      </c>
      <c r="B22" s="84" t="n"/>
      <c r="C22" s="84" t="n"/>
      <c r="D22" s="84" t="n"/>
    </row>
    <row r="23" ht="18" customHeight="1">
      <c r="A23" s="73" t="inlineStr">
        <is>
          <t>Capital total mes 60 (CLP)</t>
        </is>
      </c>
      <c r="B23" s="88">
        <f>LET(des_mes,(1-0.05)^(1/12),acum_c1,30000*200*(1-des_mes^60)/(1-des_mes),acum_c2,MIN(200000000,acum_c1*3),sub_por_t,25*0.0*800*38000*1.0,precio_adj,120000000*(1+0.05)^(60/12),cap_pre,acum_c1+acum_c2,terr_pre,MAX(0,ENTERO(cap_pre/precio_adj)),cap_total,acum_c1+acum_c2+terr_pre*sub_por_t,terrenos,MAX(0,ENTERO(cap_total/precio_adj)),fam_ubic,terrenos*25,fam_act,REDONDEAR(200*des_mes^60,0),fam_esp,MAX(0,fam_act-fam_ubic),canon_adj,25000*(1+0.03)^(60/12),canon_mes,fam_ubic*canon_adj,serv_deuda,IF(60&lt;=12,0,acum_c2*0.05/12),flujo_neto,30000*fam_act+canon_mes-serv_deuda,cap_total)</f>
        <v/>
      </c>
      <c r="C23" s="89">
        <f>LET(des_mes,(1-0.05)^(1/12),acum_c1,30000*500*(1-des_mes^60)/(1-des_mes),acum_c2,MIN(500000000,acum_c1*3),sub_por_t,25*0.6*800*38000*1.0,precio_adj,120000000*(1+0.05)^(60/12),cap_pre,acum_c1+acum_c2,terr_pre,MAX(0,ENTERO(cap_pre/precio_adj)),cap_total,acum_c1+acum_c2+terr_pre*sub_por_t,terrenos,MAX(0,ENTERO(cap_total/precio_adj)),fam_ubic,terrenos*25,fam_act,REDONDEAR(500*des_mes^60,0),fam_esp,MAX(0,fam_act-fam_ubic),canon_adj,25000*(1+0.03)^(60/12),canon_mes,fam_ubic*canon_adj,serv_deuda,IF(60&lt;=12,0,acum_c2*0.05/12),flujo_neto,30000*fam_act+canon_mes-serv_deuda,cap_total)</f>
        <v/>
      </c>
      <c r="D23" s="90">
        <f>LET(des_mes,(1-0.05)^(1/12),acum_c1,35000*1000*(1-des_mes^60)/(1-des_mes),acum_c2,MIN(1500000000,acum_c1*3),sub_por_t,25*0.8*800*38000*1.0,precio_adj,120000000*(1+0.05)^(60/12),cap_pre,acum_c1+acum_c2,terr_pre,MAX(0,ENTERO(cap_pre/precio_adj)),cap_total,acum_c1+acum_c2+terr_pre*sub_por_t,terrenos,MAX(0,ENTERO(cap_total/precio_adj)),fam_ubic,terrenos*25,fam_act,REDONDEAR(1000*des_mes^60,0),fam_esp,MAX(0,fam_act-fam_ubic),canon_adj,25000*(1+0.03)^(60/12),canon_mes,fam_ubic*canon_adj,serv_deuda,IF(60&lt;=12,0,acum_c2*0.05/12),flujo_neto,35000*fam_act+canon_mes-serv_deuda,cap_total)</f>
        <v/>
      </c>
    </row>
    <row r="24" ht="18" customHeight="1">
      <c r="A24" s="73" t="inlineStr">
        <is>
          <t>Capital total mes 180 (CLP)</t>
        </is>
      </c>
      <c r="B24" s="88">
        <f>LET(des_mes,(1-0.05)^(1/12),acum_c1,30000*200*(1-des_mes^180)/(1-des_mes),acum_c2,MIN(200000000,acum_c1*3),sub_por_t,25*0.0*800*38000*1.0,precio_adj,120000000*(1+0.05)^(180/12),cap_pre,acum_c1+acum_c2,terr_pre,MAX(0,ENTERO(cap_pre/precio_adj)),cap_total,acum_c1+acum_c2+terr_pre*sub_por_t,terrenos,MAX(0,ENTERO(cap_total/precio_adj)),fam_ubic,terrenos*25,fam_act,REDONDEAR(200*des_mes^180,0),fam_esp,MAX(0,fam_act-fam_ubic),canon_adj,25000*(1+0.03)^(180/12),canon_mes,fam_ubic*canon_adj,serv_deuda,IF(180&lt;=12,0,acum_c2*0.05/12),flujo_neto,30000*fam_act+canon_mes-serv_deuda,cap_total)</f>
        <v/>
      </c>
      <c r="C24" s="89">
        <f>LET(des_mes,(1-0.05)^(1/12),acum_c1,30000*500*(1-des_mes^180)/(1-des_mes),acum_c2,MIN(500000000,acum_c1*3),sub_por_t,25*0.6*800*38000*1.0,precio_adj,120000000*(1+0.05)^(180/12),cap_pre,acum_c1+acum_c2,terr_pre,MAX(0,ENTERO(cap_pre/precio_adj)),cap_total,acum_c1+acum_c2+terr_pre*sub_por_t,terrenos,MAX(0,ENTERO(cap_total/precio_adj)),fam_ubic,terrenos*25,fam_act,REDONDEAR(500*des_mes^180,0),fam_esp,MAX(0,fam_act-fam_ubic),canon_adj,25000*(1+0.03)^(180/12),canon_mes,fam_ubic*canon_adj,serv_deuda,IF(180&lt;=12,0,acum_c2*0.05/12),flujo_neto,30000*fam_act+canon_mes-serv_deuda,cap_total)</f>
        <v/>
      </c>
      <c r="D24" s="90">
        <f>LET(des_mes,(1-0.05)^(1/12),acum_c1,35000*1000*(1-des_mes^180)/(1-des_mes),acum_c2,MIN(1500000000,acum_c1*3),sub_por_t,25*0.8*800*38000*1.0,precio_adj,120000000*(1+0.05)^(180/12),cap_pre,acum_c1+acum_c2,terr_pre,MAX(0,ENTERO(cap_pre/precio_adj)),cap_total,acum_c1+acum_c2+terr_pre*sub_por_t,terrenos,MAX(0,ENTERO(cap_total/precio_adj)),fam_ubic,terrenos*25,fam_act,REDONDEAR(1000*des_mes^180,0),fam_esp,MAX(0,fam_act-fam_ubic),canon_adj,25000*(1+0.03)^(180/12),canon_mes,fam_ubic*canon_adj,serv_deuda,IF(180&lt;=12,0,acum_c2*0.05/12),flujo_neto,35000*fam_act+canon_mes-serv_deuda,cap_total)</f>
        <v/>
      </c>
    </row>
    <row r="25" ht="20" customHeight="1">
      <c r="A25" s="83" t="inlineStr">
        <is>
          <t>── PRIMER SORTEO ──</t>
        </is>
      </c>
      <c r="B25" s="84" t="n"/>
      <c r="C25" s="84" t="n"/>
      <c r="D25" s="84" t="n"/>
    </row>
    <row r="26" ht="18" customHeight="1">
      <c r="A26" s="73" t="inlineStr">
        <is>
          <t>Meses hasta 1er sorteo</t>
        </is>
      </c>
      <c r="B26" s="85">
        <f>LET(des_mes,(1-0.05)^(1/12),meses,SECUENCIA(180),acum_c1,30000*200*(1-des_mes^meses)/(1-des_mes),acum_c2,MIN(200000000,acum_c1*3),cap_t,acum_c1+acum_c2,precio_adj,120000000*(1+0.05)^((meses-1)/12),idx,COINCIDIR(VERDADERO,cap_t&gt;=precio_adj,0),IF(ESERROR(idx),"&gt;180",idx))</f>
        <v/>
      </c>
      <c r="C26" s="86">
        <f>LET(des_mes,(1-0.05)^(1/12),meses,SECUENCIA(180),acum_c1,30000*500*(1-des_mes^meses)/(1-des_mes),acum_c2,MIN(500000000,acum_c1*3),cap_t,acum_c1+acum_c2,precio_adj,120000000*(1+0.05)^((meses-1)/12),idx,COINCIDIR(VERDADERO,cap_t&gt;=precio_adj,0),IF(ESERROR(idx),"&gt;180",idx))</f>
        <v/>
      </c>
      <c r="D26" s="87">
        <f>LET(des_mes,(1-0.05)^(1/12),meses,SECUENCIA(180),acum_c1,35000*1000*(1-des_mes^meses)/(1-des_mes),acum_c2,MIN(1500000000,acum_c1*3),cap_t,acum_c1+acum_c2,precio_adj,120000000*(1+0.05)^((meses-1)/12),idx,COINCIDIR(VERDADERO,cap_t&gt;=precio_adj,0),IF(ESERROR(idx),"&gt;180",idx))</f>
        <v/>
      </c>
    </row>
    <row r="27" ht="20" customHeight="1">
      <c r="A27" s="83" t="inlineStr">
        <is>
          <t>── FLUJO NETO ──</t>
        </is>
      </c>
      <c r="B27" s="84" t="n"/>
      <c r="C27" s="84" t="n"/>
      <c r="D27" s="84" t="n"/>
    </row>
    <row r="28" ht="18" customHeight="1">
      <c r="A28" s="73" t="inlineStr">
        <is>
          <t>Flujo neto mensual mes 60</t>
        </is>
      </c>
      <c r="B28" s="88">
        <f>LET(des_mes,(1-0.05)^(1/12),acum_c1,30000*200*(1-des_mes^60)/(1-des_mes),acum_c2,MIN(200000000,acum_c1*3),sub_por_t,25*0.0*800*38000*1.0,precio_adj,120000000*(1+0.05)^(60/12),cap_pre,acum_c1+acum_c2,terr_pre,MAX(0,ENTERO(cap_pre/precio_adj)),cap_total,acum_c1+acum_c2+terr_pre*sub_por_t,terrenos,MAX(0,ENTERO(cap_total/precio_adj)),fam_ubic,terrenos*25,fam_act,REDONDEAR(200*des_mes^60,0),fam_esp,MAX(0,fam_act-fam_ubic),canon_adj,25000*(1+0.03)^(60/12),canon_mes,fam_ubic*canon_adj,serv_deuda,IF(60&lt;=12,0,acum_c2*0.05/12),flujo_neto,30000*fam_act+canon_mes-serv_deuda,flujo_neto)</f>
        <v/>
      </c>
      <c r="C28" s="89">
        <f>LET(des_mes,(1-0.05)^(1/12),acum_c1,30000*500*(1-des_mes^60)/(1-des_mes),acum_c2,MIN(500000000,acum_c1*3),sub_por_t,25*0.6*800*38000*1.0,precio_adj,120000000*(1+0.05)^(60/12),cap_pre,acum_c1+acum_c2,terr_pre,MAX(0,ENTERO(cap_pre/precio_adj)),cap_total,acum_c1+acum_c2+terr_pre*sub_por_t,terrenos,MAX(0,ENTERO(cap_total/precio_adj)),fam_ubic,terrenos*25,fam_act,REDONDEAR(500*des_mes^60,0),fam_esp,MAX(0,fam_act-fam_ubic),canon_adj,25000*(1+0.03)^(60/12),canon_mes,fam_ubic*canon_adj,serv_deuda,IF(60&lt;=12,0,acum_c2*0.05/12),flujo_neto,30000*fam_act+canon_mes-serv_deuda,flujo_neto)</f>
        <v/>
      </c>
      <c r="D28" s="90">
        <f>LET(des_mes,(1-0.05)^(1/12),acum_c1,35000*1000*(1-des_mes^60)/(1-des_mes),acum_c2,MIN(1500000000,acum_c1*3),sub_por_t,25*0.8*800*38000*1.0,precio_adj,120000000*(1+0.05)^(60/12),cap_pre,acum_c1+acum_c2,terr_pre,MAX(0,ENTERO(cap_pre/precio_adj)),cap_total,acum_c1+acum_c2+terr_pre*sub_por_t,terrenos,MAX(0,ENTERO(cap_total/precio_adj)),fam_ubic,terrenos*25,fam_act,REDONDEAR(1000*des_mes^60,0),fam_esp,MAX(0,fam_act-fam_ubic),canon_adj,25000*(1+0.03)^(60/12),canon_mes,fam_ubic*canon_adj,serv_deuda,IF(60&lt;=12,0,acum_c2*0.05/12),flujo_neto,35000*fam_act+canon_mes-serv_deuda,flujo_neto)</f>
        <v/>
      </c>
    </row>
    <row r="29" ht="18" customHeight="1">
      <c r="A29" s="73" t="inlineStr">
        <is>
          <t>Flujo neto mensual mes 120</t>
        </is>
      </c>
      <c r="B29" s="88">
        <f>LET(des_mes,(1-0.05)^(1/12),acum_c1,30000*200*(1-des_mes^120)/(1-des_mes),acum_c2,MIN(200000000,acum_c1*3),sub_por_t,25*0.0*800*38000*1.0,precio_adj,120000000*(1+0.05)^(120/12),cap_pre,acum_c1+acum_c2,terr_pre,MAX(0,ENTERO(cap_pre/precio_adj)),cap_total,acum_c1+acum_c2+terr_pre*sub_por_t,terrenos,MAX(0,ENTERO(cap_total/precio_adj)),fam_ubic,terrenos*25,fam_act,REDONDEAR(200*des_mes^120,0),fam_esp,MAX(0,fam_act-fam_ubic),canon_adj,25000*(1+0.03)^(120/12),canon_mes,fam_ubic*canon_adj,serv_deuda,IF(120&lt;=12,0,acum_c2*0.05/12),flujo_neto,30000*fam_act+canon_mes-serv_deuda,flujo_neto)</f>
        <v/>
      </c>
      <c r="C29" s="89">
        <f>LET(des_mes,(1-0.05)^(1/12),acum_c1,30000*500*(1-des_mes^120)/(1-des_mes),acum_c2,MIN(500000000,acum_c1*3),sub_por_t,25*0.6*800*38000*1.0,precio_adj,120000000*(1+0.05)^(120/12),cap_pre,acum_c1+acum_c2,terr_pre,MAX(0,ENTERO(cap_pre/precio_adj)),cap_total,acum_c1+acum_c2+terr_pre*sub_por_t,terrenos,MAX(0,ENTERO(cap_total/precio_adj)),fam_ubic,terrenos*25,fam_act,REDONDEAR(500*des_mes^120,0),fam_esp,MAX(0,fam_act-fam_ubic),canon_adj,25000*(1+0.03)^(120/12),canon_mes,fam_ubic*canon_adj,serv_deuda,IF(120&lt;=12,0,acum_c2*0.05/12),flujo_neto,30000*fam_act+canon_mes-serv_deuda,flujo_neto)</f>
        <v/>
      </c>
      <c r="D29" s="90">
        <f>LET(des_mes,(1-0.05)^(1/12),acum_c1,35000*1000*(1-des_mes^120)/(1-des_mes),acum_c2,MIN(1500000000,acum_c1*3),sub_por_t,25*0.8*800*38000*1.0,precio_adj,120000000*(1+0.05)^(120/12),cap_pre,acum_c1+acum_c2,terr_pre,MAX(0,ENTERO(cap_pre/precio_adj)),cap_total,acum_c1+acum_c2+terr_pre*sub_por_t,terrenos,MAX(0,ENTERO(cap_total/precio_adj)),fam_ubic,terrenos*25,fam_act,REDONDEAR(1000*des_mes^120,0),fam_esp,MAX(0,fam_act-fam_ubic),canon_adj,25000*(1+0.03)^(120/12),canon_mes,fam_ubic*canon_adj,serv_deuda,IF(120&lt;=12,0,acum_c2*0.05/12),flujo_neto,35000*fam_act+canon_mes-serv_deuda,flujo_neto)</f>
        <v/>
      </c>
    </row>
    <row r="30" ht="18" customHeight="1">
      <c r="A30" s="73" t="inlineStr">
        <is>
          <t>Flujo neto mensual mes 180</t>
        </is>
      </c>
      <c r="B30" s="88">
        <f>LET(des_mes,(1-0.05)^(1/12),acum_c1,30000*200*(1-des_mes^180)/(1-des_mes),acum_c2,MIN(200000000,acum_c1*3),sub_por_t,25*0.0*800*38000*1.0,precio_adj,120000000*(1+0.05)^(180/12),cap_pre,acum_c1+acum_c2,terr_pre,MAX(0,ENTERO(cap_pre/precio_adj)),cap_total,acum_c1+acum_c2+terr_pre*sub_por_t,terrenos,MAX(0,ENTERO(cap_total/precio_adj)),fam_ubic,terrenos*25,fam_act,REDONDEAR(200*des_mes^180,0),fam_esp,MAX(0,fam_act-fam_ubic),canon_adj,25000*(1+0.03)^(180/12),canon_mes,fam_ubic*canon_adj,serv_deuda,IF(180&lt;=12,0,acum_c2*0.05/12),flujo_neto,30000*fam_act+canon_mes-serv_deuda,flujo_neto)</f>
        <v/>
      </c>
      <c r="C30" s="89">
        <f>LET(des_mes,(1-0.05)^(1/12),acum_c1,30000*500*(1-des_mes^180)/(1-des_mes),acum_c2,MIN(500000000,acum_c1*3),sub_por_t,25*0.6*800*38000*1.0,precio_adj,120000000*(1+0.05)^(180/12),cap_pre,acum_c1+acum_c2,terr_pre,MAX(0,ENTERO(cap_pre/precio_adj)),cap_total,acum_c1+acum_c2+terr_pre*sub_por_t,terrenos,MAX(0,ENTERO(cap_total/precio_adj)),fam_ubic,terrenos*25,fam_act,REDONDEAR(500*des_mes^180,0),fam_esp,MAX(0,fam_act-fam_ubic),canon_adj,25000*(1+0.03)^(180/12),canon_mes,fam_ubic*canon_adj,serv_deuda,IF(180&lt;=12,0,acum_c2*0.05/12),flujo_neto,30000*fam_act+canon_mes-serv_deuda,flujo_neto)</f>
        <v/>
      </c>
      <c r="D30" s="90">
        <f>LET(des_mes,(1-0.05)^(1/12),acum_c1,35000*1000*(1-des_mes^180)/(1-des_mes),acum_c2,MIN(1500000000,acum_c1*3),sub_por_t,25*0.8*800*38000*1.0,precio_adj,120000000*(1+0.05)^(180/12),cap_pre,acum_c1+acum_c2,terr_pre,MAX(0,ENTERO(cap_pre/precio_adj)),cap_total,acum_c1+acum_c2+terr_pre*sub_por_t,terrenos,MAX(0,ENTERO(cap_total/precio_adj)),fam_ubic,terrenos*25,fam_act,REDONDEAR(1000*des_mes^180,0),fam_esp,MAX(0,fam_act-fam_ubic),canon_adj,25000*(1+0.03)^(180/12),canon_mes,fam_ubic*canon_adj,serv_deuda,IF(180&lt;=12,0,acum_c2*0.05/12),flujo_neto,35000*fam_act+canon_mes-serv_deuda,flujo_neto)</f>
        <v/>
      </c>
    </row>
    <row r="31" ht="20" customHeight="1">
      <c r="A31" s="83" t="inlineStr">
        <is>
          <t>── COBERTURA DEUDA ──</t>
        </is>
      </c>
      <c r="B31" s="84" t="n"/>
      <c r="C31" s="84" t="n"/>
      <c r="D31" s="84" t="n"/>
    </row>
    <row r="32" ht="18" customHeight="1">
      <c r="A32" s="73" t="inlineStr">
        <is>
          <t>Cobertura mes 60 (canon/svc)</t>
        </is>
      </c>
      <c r="B32" s="91">
        <f>LET(des_mes,(1-0.05)^(1/12),acum_c1,30000*200*(1-des_mes^60)/(1-des_mes),acum_c2,MIN(200000000,acum_c1*3),sub_por_t,25*0.0*800*38000*1.0,precio_adj,120000000*(1+0.05)^(60/12),cap_pre,acum_c1+acum_c2,terr_pre,MAX(0,ENTERO(cap_pre/precio_adj)),cap_total,acum_c1+acum_c2+terr_pre*sub_por_t,terrenos,MAX(0,ENTERO(cap_total/precio_adj)),fam_ubic,terrenos*25,canon_adj,25000*(1+0.03)^(60/12),canon_mes,fam_ubic*canon_adj,serv_deuda,IF(60&lt;=12,0,acum_c2*0.05/12),IF(serv_deuda=0,999,REDONDEAR(canon_mes/serv_deuda,2)))</f>
        <v/>
      </c>
      <c r="C32" s="92">
        <f>LET(des_mes,(1-0.05)^(1/12),acum_c1,30000*500*(1-des_mes^60)/(1-des_mes),acum_c2,MIN(500000000,acum_c1*3),sub_por_t,25*0.6*800*38000*1.0,precio_adj,120000000*(1+0.05)^(60/12),cap_pre,acum_c1+acum_c2,terr_pre,MAX(0,ENTERO(cap_pre/precio_adj)),cap_total,acum_c1+acum_c2+terr_pre*sub_por_t,terrenos,MAX(0,ENTERO(cap_total/precio_adj)),fam_ubic,terrenos*25,canon_adj,25000*(1+0.03)^(60/12),canon_mes,fam_ubic*canon_adj,serv_deuda,IF(60&lt;=12,0,acum_c2*0.05/12),IF(serv_deuda=0,999,REDONDEAR(canon_mes/serv_deuda,2)))</f>
        <v/>
      </c>
      <c r="D32" s="93">
        <f>LET(des_mes,(1-0.05)^(1/12),acum_c1,35000*1000*(1-des_mes^60)/(1-des_mes),acum_c2,MIN(1500000000,acum_c1*3),sub_por_t,25*0.8*800*38000*1.0,precio_adj,120000000*(1+0.05)^(60/12),cap_pre,acum_c1+acum_c2,terr_pre,MAX(0,ENTERO(cap_pre/precio_adj)),cap_total,acum_c1+acum_c2+terr_pre*sub_por_t,terrenos,MAX(0,ENTERO(cap_total/precio_adj)),fam_ubic,terrenos*25,canon_adj,25000*(1+0.03)^(60/12),canon_mes,fam_ubic*canon_adj,serv_deuda,IF(60&lt;=12,0,acum_c2*0.05/12),IF(serv_deuda=0,999,REDONDEAR(canon_mes/serv_deuda,2)))</f>
        <v/>
      </c>
    </row>
    <row r="33" ht="18" customHeight="1">
      <c r="A33" s="73" t="inlineStr">
        <is>
          <t>Cobertura mes 120</t>
        </is>
      </c>
      <c r="B33" s="91">
        <f>LET(des_mes,(1-0.05)^(1/12),acum_c1,30000*200*(1-des_mes^120)/(1-des_mes),acum_c2,MIN(200000000,acum_c1*3),sub_por_t,25*0.0*800*38000*1.0,precio_adj,120000000*(1+0.05)^(120/12),cap_pre,acum_c1+acum_c2,terr_pre,MAX(0,ENTERO(cap_pre/precio_adj)),cap_total,acum_c1+acum_c2+terr_pre*sub_por_t,terrenos,MAX(0,ENTERO(cap_total/precio_adj)),fam_ubic,terrenos*25,canon_adj,25000*(1+0.03)^(120/12),canon_mes,fam_ubic*canon_adj,serv_deuda,IF(120&lt;=12,0,acum_c2*0.05/12),IF(serv_deuda=0,999,REDONDEAR(canon_mes/serv_deuda,2)))</f>
        <v/>
      </c>
      <c r="C33" s="92">
        <f>LET(des_mes,(1-0.05)^(1/12),acum_c1,30000*500*(1-des_mes^120)/(1-des_mes),acum_c2,MIN(500000000,acum_c1*3),sub_por_t,25*0.6*800*38000*1.0,precio_adj,120000000*(1+0.05)^(120/12),cap_pre,acum_c1+acum_c2,terr_pre,MAX(0,ENTERO(cap_pre/precio_adj)),cap_total,acum_c1+acum_c2+terr_pre*sub_por_t,terrenos,MAX(0,ENTERO(cap_total/precio_adj)),fam_ubic,terrenos*25,canon_adj,25000*(1+0.03)^(120/12),canon_mes,fam_ubic*canon_adj,serv_deuda,IF(120&lt;=12,0,acum_c2*0.05/12),IF(serv_deuda=0,999,REDONDEAR(canon_mes/serv_deuda,2)))</f>
        <v/>
      </c>
      <c r="D33" s="93">
        <f>LET(des_mes,(1-0.05)^(1/12),acum_c1,35000*1000*(1-des_mes^120)/(1-des_mes),acum_c2,MIN(1500000000,acum_c1*3),sub_por_t,25*0.8*800*38000*1.0,precio_adj,120000000*(1+0.05)^(120/12),cap_pre,acum_c1+acum_c2,terr_pre,MAX(0,ENTERO(cap_pre/precio_adj)),cap_total,acum_c1+acum_c2+terr_pre*sub_por_t,terrenos,MAX(0,ENTERO(cap_total/precio_adj)),fam_ubic,terrenos*25,canon_adj,25000*(1+0.03)^(120/12),canon_mes,fam_ubic*canon_adj,serv_deuda,IF(120&lt;=12,0,acum_c2*0.05/12),IF(serv_deuda=0,999,REDONDEAR(canon_mes/serv_deuda,2)))</f>
        <v/>
      </c>
    </row>
    <row r="34" ht="18" customHeight="1">
      <c r="A34" s="73" t="inlineStr">
        <is>
          <t>Cobertura mes 180</t>
        </is>
      </c>
      <c r="B34" s="91">
        <f>LET(des_mes,(1-0.05)^(1/12),acum_c1,30000*200*(1-des_mes^180)/(1-des_mes),acum_c2,MIN(200000000,acum_c1*3),sub_por_t,25*0.0*800*38000*1.0,precio_adj,120000000*(1+0.05)^(180/12),cap_pre,acum_c1+acum_c2,terr_pre,MAX(0,ENTERO(cap_pre/precio_adj)),cap_total,acum_c1+acum_c2+terr_pre*sub_por_t,terrenos,MAX(0,ENTERO(cap_total/precio_adj)),fam_ubic,terrenos*25,canon_adj,25000*(1+0.03)^(180/12),canon_mes,fam_ubic*canon_adj,serv_deuda,IF(180&lt;=12,0,acum_c2*0.05/12),IF(serv_deuda=0,999,REDONDEAR(canon_mes/serv_deuda,2)))</f>
        <v/>
      </c>
      <c r="C34" s="92">
        <f>LET(des_mes,(1-0.05)^(1/12),acum_c1,30000*500*(1-des_mes^180)/(1-des_mes),acum_c2,MIN(500000000,acum_c1*3),sub_por_t,25*0.6*800*38000*1.0,precio_adj,120000000*(1+0.05)^(180/12),cap_pre,acum_c1+acum_c2,terr_pre,MAX(0,ENTERO(cap_pre/precio_adj)),cap_total,acum_c1+acum_c2+terr_pre*sub_por_t,terrenos,MAX(0,ENTERO(cap_total/precio_adj)),fam_ubic,terrenos*25,canon_adj,25000*(1+0.03)^(180/12),canon_mes,fam_ubic*canon_adj,serv_deuda,IF(180&lt;=12,0,acum_c2*0.05/12),IF(serv_deuda=0,999,REDONDEAR(canon_mes/serv_deuda,2)))</f>
        <v/>
      </c>
      <c r="D34" s="93">
        <f>LET(des_mes,(1-0.05)^(1/12),acum_c1,35000*1000*(1-des_mes^180)/(1-des_mes),acum_c2,MIN(1500000000,acum_c1*3),sub_por_t,25*0.8*800*38000*1.0,precio_adj,120000000*(1+0.05)^(180/12),cap_pre,acum_c1+acum_c2,terr_pre,MAX(0,ENTERO(cap_pre/precio_adj)),cap_total,acum_c1+acum_c2+terr_pre*sub_por_t,terrenos,MAX(0,ENTERO(cap_total/precio_adj)),fam_ubic,terrenos*25,canon_adj,25000*(1+0.03)^(180/12),canon_mes,fam_ubic*canon_adj,serv_deuda,IF(180&lt;=12,0,acum_c2*0.05/12),IF(serv_deuda=0,999,REDONDEAR(canon_mes/serv_deuda,2)))</f>
        <v/>
      </c>
    </row>
    <row r="36" ht="36" customHeight="1">
      <c r="A36" s="94" t="inlineStr">
        <is>
          <t>* Los KPIs se calculan con fórmulas LET directamente en cada celda. Parámetros fijos: deserción 5%, precio terreno 120M, apreciación 5%, canon 25.000 CLP, crecimiento canon 3%, ratio C2 3x, retorno C2 5%.</t>
        </is>
      </c>
      <c r="B36" s="14" t="n"/>
      <c r="C36" s="14" t="n"/>
      <c r="D36" s="14" t="n"/>
    </row>
  </sheetData>
  <mergeCells count="3">
    <mergeCell ref="A1:D1"/>
    <mergeCell ref="A36:D3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Modelo CLT - es-CL</dc:creator>
  <dc:title>Fondo Mutualista de Suelo Urbano</dc:title>
  <dc:description>Modelo financiero para Fondo Mutualista de Suelo Urbano. Horizonte 180 meses. 3 capas de capital: ahorro familiar, capital paciente e inversores de impacto.</dc:description>
  <dc:subject>Modelo Financiero - Community Land Trust</dc:subject>
  <dcterms:created xsi:type="dcterms:W3CDTF">2026-04-01T13:47:55Z</dcterms:created>
  <dcterms:modified xsi:type="dcterms:W3CDTF">2026-04-01T13:47:56Z</dcterms:modified>
  <cp:keywords>CLT, suelo urbano, vivienda cooperativa, modelo financiero</cp:keywords>
</cp:coreProperties>
</file>