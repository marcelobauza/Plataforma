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5600" windowHeight="15500" tabRatio="500" firstSheet="0" activeTab="2" autoFilterDateGrouping="1"/>
  </bookViews>
  <sheets>
    <sheet name="Superficies y Valores" sheetId="1" state="visible" r:id="rId1"/>
    <sheet name="Detalle Costos" sheetId="2" state="visible" r:id="rId2"/>
    <sheet name="Resultados" sheetId="3" state="visible" r:id="rId3"/>
    <sheet name="VAN y TIR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24">
    <font>
      <name val="Calibri"/>
      <charset val="1"/>
      <family val="2"/>
      <color theme="1"/>
      <sz val="11"/>
    </font>
    <font>
      <name val="Arial"/>
      <family val="2"/>
      <b val="1"/>
      <color rgb="FF2E75B6"/>
      <sz val="14"/>
    </font>
    <font>
      <name val="Arial"/>
      <family val="2"/>
      <b val="1"/>
      <color rgb="FF2E75B6"/>
      <sz val="12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color rgb="FF0000FF"/>
      <sz val="9"/>
    </font>
    <font>
      <name val="Arial"/>
      <family val="2"/>
      <color rgb="FF888888"/>
      <sz val="8"/>
    </font>
    <font>
      <name val="Arial"/>
      <family val="2"/>
      <color rgb="FFFF0000"/>
      <sz val="9"/>
    </font>
    <font>
      <name val="Arial"/>
      <family val="2"/>
      <b val="1"/>
      <sz val="10"/>
    </font>
    <font>
      <name val="Arial"/>
      <family val="2"/>
      <sz val="9"/>
    </font>
    <font>
      <name val="Calibri"/>
      <charset val="1"/>
      <family val="2"/>
      <color theme="1"/>
      <sz val="11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rgb="FF2E75B6"/>
      <sz val="9"/>
    </font>
    <font>
      <name val="Arial"/>
      <family val="2"/>
      <color rgb="FF888888"/>
      <sz val="9"/>
    </font>
    <font>
      <name val="Arial"/>
      <family val="2"/>
      <b val="1"/>
      <color rgb="FF0000FF"/>
      <sz val="9"/>
    </font>
    <font>
      <name val="Arial"/>
      <b val="1"/>
      <color rgb="002E75B6"/>
      <sz val="14"/>
    </font>
    <font>
      <name val="Arial"/>
      <b val="1"/>
      <color rgb="002E75B6"/>
      <sz val="12"/>
    </font>
    <font>
      <name val="Arial"/>
      <b val="1"/>
      <sz val="9"/>
    </font>
    <font>
      <name val="Arial"/>
      <sz val="9"/>
    </font>
    <font>
      <name val="Arial"/>
      <i val="1"/>
      <sz val="9"/>
    </font>
    <font>
      <name val="Arial"/>
      <b val="1"/>
      <color rgb="00FFFFFF"/>
      <sz val="9"/>
    </font>
    <font>
      <name val="Arial"/>
      <i val="1"/>
      <sz val="8"/>
    </font>
  </fonts>
  <fills count="24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FFD9E6"/>
      </patternFill>
    </fill>
    <fill>
      <patternFill patternType="solid">
        <fgColor rgb="FFC6EFCE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D9E6"/>
        <bgColor rgb="FFFFFF00"/>
      </patternFill>
    </fill>
    <fill>
      <patternFill patternType="solid">
        <fgColor rgb="FFFFD9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rgb="FFCCFFFF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FFFF00"/>
      </patternFill>
    </fill>
    <fill>
      <patternFill patternType="solid">
        <fgColor theme="0" tint="-0.1499984740745262"/>
        <bgColor rgb="FFCCFFFF"/>
      </patternFill>
    </fill>
    <fill>
      <patternFill patternType="solid">
        <fgColor theme="8" tint="0.5999938962981048"/>
        <bgColor rgb="FFFFFF00"/>
      </patternFill>
    </fill>
    <fill>
      <patternFill patternType="solid">
        <fgColor rgb="00FFC00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D9E6"/>
      </patternFill>
    </fill>
    <fill>
      <patternFill patternType="solid">
        <fgColor rgb="002E75B6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  <bottom style="thin"/>
    </border>
    <border/>
    <border>
      <top style="thin"/>
    </border>
    <border>
      <bottom style="thin"/>
    </border>
  </borders>
  <cellStyleXfs count="2">
    <xf numFmtId="0" fontId="11" fillId="0" borderId="0"/>
    <xf numFmtId="9" fontId="11" fillId="0" borderId="0"/>
  </cellStyleXfs>
  <cellXfs count="1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3" fontId="4" fillId="4" borderId="0" pivotButton="0" quotePrefix="0" xfId="0"/>
    <xf numFmtId="3" fontId="4" fillId="3" borderId="0" pivotButton="0" quotePrefix="0" xfId="0"/>
    <xf numFmtId="0" fontId="5" fillId="0" borderId="0" pivotButton="0" quotePrefix="0" xfId="0"/>
    <xf numFmtId="3" fontId="5" fillId="4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7" fillId="0" borderId="0" pivotButton="0" quotePrefix="0" xfId="0"/>
    <xf numFmtId="164" fontId="5" fillId="4" borderId="0" pivotButton="0" quotePrefix="0" xfId="0"/>
    <xf numFmtId="3" fontId="4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horizontal="right"/>
    </xf>
    <xf numFmtId="3" fontId="5" fillId="4" borderId="0" applyAlignment="1" pivotButton="0" quotePrefix="0" xfId="0">
      <alignment horizontal="right"/>
    </xf>
    <xf numFmtId="165" fontId="5" fillId="4" borderId="0" applyAlignment="1" pivotButton="0" quotePrefix="0" xfId="0">
      <alignment horizontal="right"/>
    </xf>
    <xf numFmtId="3" fontId="5" fillId="6" borderId="0" applyAlignment="1" pivotButton="0" quotePrefix="0" xfId="0">
      <alignment horizontal="right"/>
    </xf>
    <xf numFmtId="0" fontId="10" fillId="6" borderId="0" pivotButton="0" quotePrefix="0" xfId="0"/>
    <xf numFmtId="164" fontId="4" fillId="3" borderId="0" pivotButton="0" quotePrefix="0" xfId="0"/>
    <xf numFmtId="164" fontId="4" fillId="4" borderId="0" pivotButton="0" quotePrefix="0" xfId="0"/>
    <xf numFmtId="164" fontId="5" fillId="0" borderId="0" pivotButton="0" quotePrefix="0" xfId="0"/>
    <xf numFmtId="0" fontId="4" fillId="0" borderId="1" pivotButton="0" quotePrefix="0" xfId="0"/>
    <xf numFmtId="3" fontId="4" fillId="3" borderId="1" pivotButton="0" quotePrefix="0" xfId="0"/>
    <xf numFmtId="164" fontId="4" fillId="3" borderId="1" pivotButton="0" quotePrefix="0" xfId="0"/>
    <xf numFmtId="164" fontId="4" fillId="4" borderId="1" pivotButton="0" quotePrefix="0" xfId="0"/>
    <xf numFmtId="3" fontId="4" fillId="4" borderId="1" pivotButton="0" quotePrefix="0" xfId="0"/>
    <xf numFmtId="0" fontId="5" fillId="0" borderId="2" pivotButton="0" quotePrefix="0" xfId="0"/>
    <xf numFmtId="3" fontId="5" fillId="4" borderId="2" pivotButton="0" quotePrefix="0" xfId="0"/>
    <xf numFmtId="164" fontId="5" fillId="4" borderId="2" pivotButton="0" quotePrefix="0" xfId="0"/>
    <xf numFmtId="164" fontId="5" fillId="0" borderId="2" pivotButton="0" quotePrefix="0" xfId="0"/>
    <xf numFmtId="0" fontId="12" fillId="0" borderId="0" applyAlignment="1" pivotButton="0" quotePrefix="0" xfId="0">
      <alignment horizontal="center" vertical="center" wrapText="1"/>
    </xf>
    <xf numFmtId="3" fontId="5" fillId="0" borderId="0" pivotButton="0" quotePrefix="0" xfId="0"/>
    <xf numFmtId="0" fontId="13" fillId="0" borderId="0" pivotButton="0" quotePrefix="0" xfId="0"/>
    <xf numFmtId="3" fontId="13" fillId="0" borderId="0" pivotButton="0" quotePrefix="0" xfId="0"/>
    <xf numFmtId="164" fontId="13" fillId="0" borderId="0" pivotButton="0" quotePrefix="0" xfId="0"/>
    <xf numFmtId="0" fontId="13" fillId="0" borderId="2" pivotButton="0" quotePrefix="0" xfId="0"/>
    <xf numFmtId="0" fontId="13" fillId="8" borderId="0" pivotButton="0" quotePrefix="0" xfId="0"/>
    <xf numFmtId="0" fontId="13" fillId="0" borderId="1" pivotButton="0" quotePrefix="0" xfId="0"/>
    <xf numFmtId="9" fontId="12" fillId="0" borderId="1" applyAlignment="1" pivotButton="0" quotePrefix="0" xfId="0">
      <alignment horizontal="center"/>
    </xf>
    <xf numFmtId="9" fontId="12" fillId="0" borderId="0" applyAlignment="1" pivotButton="0" quotePrefix="0" xfId="0">
      <alignment horizontal="center"/>
    </xf>
    <xf numFmtId="164" fontId="4" fillId="0" borderId="0" pivotButton="0" quotePrefix="0" xfId="0"/>
    <xf numFmtId="164" fontId="4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3" fontId="4" fillId="0" borderId="1" pivotButton="0" quotePrefix="0" xfId="0"/>
    <xf numFmtId="3" fontId="5" fillId="0" borderId="2" pivotButton="0" quotePrefix="0" xfId="0"/>
    <xf numFmtId="0" fontId="12" fillId="0" borderId="0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pivotButton="0" quotePrefix="0" xfId="0"/>
    <xf numFmtId="164" fontId="12" fillId="11" borderId="0" pivotButton="0" quotePrefix="0" xfId="0"/>
    <xf numFmtId="0" fontId="12" fillId="8" borderId="1" pivotButton="0" quotePrefix="0" xfId="0"/>
    <xf numFmtId="166" fontId="12" fillId="8" borderId="0" pivotButton="0" quotePrefix="0" xfId="0"/>
    <xf numFmtId="0" fontId="12" fillId="0" borderId="1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right" vertical="center"/>
    </xf>
    <xf numFmtId="3" fontId="5" fillId="6" borderId="0" applyAlignment="1" pivotButton="0" quotePrefix="0" xfId="0">
      <alignment vertical="center"/>
    </xf>
    <xf numFmtId="164" fontId="5" fillId="6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13" fillId="5" borderId="0" applyAlignment="1" pivotButton="0" quotePrefix="0" xfId="0">
      <alignment vertical="center"/>
    </xf>
    <xf numFmtId="3" fontId="5" fillId="5" borderId="0" applyAlignment="1" pivotButton="0" quotePrefix="0" xfId="0">
      <alignment vertical="center"/>
    </xf>
    <xf numFmtId="166" fontId="5" fillId="5" borderId="0" applyAlignment="1" pivotButton="0" quotePrefix="0" xfId="0">
      <alignment vertical="center"/>
    </xf>
    <xf numFmtId="165" fontId="5" fillId="5" borderId="0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3" borderId="0" applyAlignment="1" pivotButton="0" quotePrefix="0" xfId="0">
      <alignment vertical="center"/>
    </xf>
    <xf numFmtId="166" fontId="6" fillId="3" borderId="0" applyAlignment="1" pivotButton="0" quotePrefix="0" xfId="0">
      <alignment vertical="center"/>
    </xf>
    <xf numFmtId="3" fontId="4" fillId="4" borderId="0" applyAlignment="1" pivotButton="0" quotePrefix="0" xfId="0">
      <alignment vertical="center"/>
    </xf>
    <xf numFmtId="165" fontId="4" fillId="4" borderId="0" applyAlignment="1" pivotButton="0" quotePrefix="0" xfId="0">
      <alignment vertical="center"/>
    </xf>
    <xf numFmtId="164" fontId="4" fillId="4" borderId="0" applyAlignment="1" pivotButton="0" quotePrefix="0" xfId="0">
      <alignment vertical="center"/>
    </xf>
    <xf numFmtId="10" fontId="13" fillId="8" borderId="0" applyAlignment="1" pivotButton="0" quotePrefix="0" xfId="0">
      <alignment vertical="center"/>
    </xf>
    <xf numFmtId="3" fontId="13" fillId="0" borderId="0" applyAlignment="1" pivotButton="0" quotePrefix="0" xfId="0">
      <alignment vertical="center"/>
    </xf>
    <xf numFmtId="3" fontId="4" fillId="7" borderId="0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13" fillId="5" borderId="2" applyAlignment="1" pivotButton="0" quotePrefix="0" xfId="0">
      <alignment vertical="center"/>
    </xf>
    <xf numFmtId="3" fontId="5" fillId="5" borderId="2" applyAlignment="1" pivotButton="0" quotePrefix="0" xfId="0">
      <alignment vertical="center"/>
    </xf>
    <xf numFmtId="166" fontId="5" fillId="5" borderId="2" applyAlignment="1" pivotButton="0" quotePrefix="0" xfId="0">
      <alignment vertical="center"/>
    </xf>
    <xf numFmtId="165" fontId="5" fillId="5" borderId="2" applyAlignment="1" pivotButton="0" quotePrefix="0" xfId="0">
      <alignment vertical="center"/>
    </xf>
    <xf numFmtId="165" fontId="5" fillId="5" borderId="2" applyAlignment="1" pivotButton="0" quotePrefix="0" xfId="1">
      <alignment vertical="center"/>
    </xf>
    <xf numFmtId="164" fontId="5" fillId="5" borderId="2" applyAlignment="1" pivotButton="0" quotePrefix="0" xfId="0">
      <alignment vertical="center"/>
    </xf>
    <xf numFmtId="165" fontId="13" fillId="8" borderId="0" applyAlignment="1" pivotButton="0" quotePrefix="0" xfId="0">
      <alignment vertical="center"/>
    </xf>
    <xf numFmtId="0" fontId="5" fillId="12" borderId="0" applyAlignment="1" pivotButton="0" quotePrefix="0" xfId="0">
      <alignment vertical="center"/>
    </xf>
    <xf numFmtId="3" fontId="5" fillId="12" borderId="0" applyAlignment="1" pivotButton="0" quotePrefix="0" xfId="0">
      <alignment vertical="center"/>
    </xf>
    <xf numFmtId="166" fontId="6" fillId="13" borderId="0" applyAlignment="1" pivotButton="0" quotePrefix="0" xfId="0">
      <alignment vertical="center"/>
    </xf>
    <xf numFmtId="3" fontId="5" fillId="14" borderId="0" applyAlignment="1" pivotButton="0" quotePrefix="0" xfId="0">
      <alignment vertical="center"/>
    </xf>
    <xf numFmtId="165" fontId="5" fillId="14" borderId="0" applyAlignment="1" pivotButton="0" quotePrefix="0" xfId="0">
      <alignment vertical="center"/>
    </xf>
    <xf numFmtId="164" fontId="5" fillId="1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3" fillId="0" borderId="2" applyAlignment="1" pivotButton="0" quotePrefix="0" xfId="0">
      <alignment vertical="center"/>
    </xf>
    <xf numFmtId="3" fontId="5" fillId="15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5" fontId="5" fillId="15" borderId="2" applyAlignment="1" pivotButton="0" quotePrefix="0" xfId="1">
      <alignment vertical="center"/>
    </xf>
    <xf numFmtId="166" fontId="5" fillId="15" borderId="2" applyAlignment="1" pivotButton="0" quotePrefix="0" xfId="1">
      <alignment vertical="center"/>
    </xf>
    <xf numFmtId="0" fontId="12" fillId="0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3" fontId="4" fillId="9" borderId="0" applyAlignment="1" pivotButton="0" quotePrefix="0" xfId="0">
      <alignment vertical="center"/>
    </xf>
    <xf numFmtId="3" fontId="4" fillId="10" borderId="0" applyAlignment="1" pivotButton="0" quotePrefix="0" xfId="0">
      <alignment vertical="center"/>
    </xf>
    <xf numFmtId="166" fontId="6" fillId="8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3" fontId="5" fillId="15" borderId="1" applyAlignment="1" pivotButton="0" quotePrefix="0" xfId="0">
      <alignment vertical="center"/>
    </xf>
    <xf numFmtId="166" fontId="16" fillId="0" borderId="1" applyAlignment="1" pivotButton="0" quotePrefix="0" xfId="0">
      <alignment vertical="center"/>
    </xf>
    <xf numFmtId="3" fontId="4" fillId="8" borderId="0" applyAlignment="1" pivotButton="0" quotePrefix="0" xfId="0">
      <alignment vertical="center"/>
    </xf>
    <xf numFmtId="166" fontId="16" fillId="3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3" fontId="4" fillId="16" borderId="0" applyAlignment="1" pivotButton="0" quotePrefix="0" xfId="0">
      <alignment vertical="center"/>
    </xf>
    <xf numFmtId="3" fontId="4" fillId="17" borderId="0" applyAlignment="1" pivotButton="0" quotePrefix="0" xfId="0">
      <alignment vertical="center"/>
    </xf>
    <xf numFmtId="3" fontId="4" fillId="15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4" fontId="13" fillId="5" borderId="0" applyAlignment="1" pivotButton="0" quotePrefix="0" xfId="0">
      <alignment vertical="center"/>
    </xf>
    <xf numFmtId="3" fontId="4" fillId="18" borderId="0" applyAlignment="1" pivotButton="0" quotePrefix="0" xfId="0">
      <alignment vertical="center"/>
    </xf>
    <xf numFmtId="4" fontId="6" fillId="3" borderId="0" applyAlignment="1" pivotButton="0" quotePrefix="0" xfId="0">
      <alignment vertical="center"/>
    </xf>
    <xf numFmtId="4" fontId="6" fillId="0" borderId="0" applyAlignment="1" pivotButton="0" quotePrefix="0" xfId="0">
      <alignment vertical="center"/>
    </xf>
    <xf numFmtId="165" fontId="12" fillId="5" borderId="0" applyAlignment="1" pivotButton="0" quotePrefix="0" xfId="0">
      <alignment vertical="center"/>
    </xf>
    <xf numFmtId="10" fontId="8" fillId="3" borderId="0" applyAlignment="1" pivotButton="0" quotePrefix="0" xfId="0">
      <alignment vertical="center"/>
    </xf>
    <xf numFmtId="165" fontId="13" fillId="4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0" fontId="13" fillId="8" borderId="0" applyAlignment="1" pivotButton="0" quotePrefix="0" xfId="0">
      <alignment horizontal="right" vertical="center"/>
    </xf>
    <xf numFmtId="0" fontId="4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3" fontId="5" fillId="7" borderId="0" applyAlignment="1" pivotButton="0" quotePrefix="0" xfId="0">
      <alignment vertical="center"/>
    </xf>
    <xf numFmtId="9" fontId="0" fillId="8" borderId="0" pivotButton="0" quotePrefix="0" xfId="0"/>
    <xf numFmtId="3" fontId="5" fillId="7" borderId="0" applyAlignment="1" pivotButton="0" quotePrefix="0" xfId="0">
      <alignment horizontal="right"/>
    </xf>
    <xf numFmtId="165" fontId="5" fillId="11" borderId="0" applyAlignment="1" pivotButton="0" quotePrefix="0" xfId="0">
      <alignment horizontal="right"/>
    </xf>
    <xf numFmtId="0" fontId="0" fillId="0" borderId="1" pivotButton="0" quotePrefix="0" xfId="0"/>
    <xf numFmtId="0" fontId="20" fillId="0" borderId="0" pivotButton="0" quotePrefix="0" xfId="0"/>
    <xf numFmtId="165" fontId="19" fillId="21" borderId="0" applyAlignment="1" pivotButton="0" quotePrefix="0" xfId="0">
      <alignment horizontal="right"/>
    </xf>
    <xf numFmtId="0" fontId="17" fillId="0" borderId="0" pivotButton="0" quotePrefix="0" xfId="0"/>
    <xf numFmtId="0" fontId="18" fillId="0" borderId="0" pivotButton="0" quotePrefix="0" xfId="0"/>
    <xf numFmtId="0" fontId="19" fillId="19" borderId="0" applyAlignment="1" pivotButton="0" quotePrefix="0" xfId="0">
      <alignment vertical="center"/>
    </xf>
    <xf numFmtId="10" fontId="20" fillId="20" borderId="0" applyAlignment="1" pivotButton="0" quotePrefix="0" xfId="0">
      <alignment horizontal="right"/>
    </xf>
    <xf numFmtId="165" fontId="20" fillId="21" borderId="0" applyAlignment="1" pivotButton="0" quotePrefix="0" xfId="0">
      <alignment horizontal="right"/>
    </xf>
    <xf numFmtId="1" fontId="20" fillId="20" borderId="0" applyAlignment="1" pivotButton="0" quotePrefix="0" xfId="0">
      <alignment horizontal="right"/>
    </xf>
    <xf numFmtId="9" fontId="20" fillId="20" borderId="0" applyAlignment="1" pivotButton="0" quotePrefix="0" xfId="0">
      <alignment horizontal="right"/>
    </xf>
    <xf numFmtId="3" fontId="19" fillId="22" borderId="0" applyAlignment="1" pivotButton="0" quotePrefix="0" xfId="0">
      <alignment horizontal="right"/>
    </xf>
    <xf numFmtId="0" fontId="21" fillId="0" borderId="0" pivotButton="0" quotePrefix="0" xfId="0"/>
    <xf numFmtId="0" fontId="22" fillId="23" borderId="5" applyAlignment="1" pivotButton="0" quotePrefix="0" xfId="0">
      <alignment horizontal="center" vertical="center" wrapText="1"/>
    </xf>
    <xf numFmtId="1" fontId="20" fillId="0" borderId="0" applyAlignment="1" pivotButton="0" quotePrefix="0" xfId="0">
      <alignment horizontal="center"/>
    </xf>
    <xf numFmtId="3" fontId="20" fillId="21" borderId="6" applyAlignment="1" pivotButton="0" quotePrefix="0" xfId="0">
      <alignment horizontal="right"/>
    </xf>
    <xf numFmtId="3" fontId="19" fillId="21" borderId="6" applyAlignment="1" pivotButton="0" quotePrefix="0" xfId="0">
      <alignment horizontal="right"/>
    </xf>
    <xf numFmtId="1" fontId="20" fillId="0" borderId="7" applyAlignment="1" pivotButton="0" quotePrefix="0" xfId="0">
      <alignment horizontal="center"/>
    </xf>
    <xf numFmtId="3" fontId="20" fillId="21" borderId="7" applyAlignment="1" pivotButton="0" quotePrefix="0" xfId="0">
      <alignment horizontal="right"/>
    </xf>
    <xf numFmtId="3" fontId="19" fillId="21" borderId="7" applyAlignment="1" pivotButton="0" quotePrefix="0" xfId="0">
      <alignment horizontal="right"/>
    </xf>
    <xf numFmtId="3" fontId="20" fillId="21" borderId="8" applyAlignment="1" pivotButton="0" quotePrefix="0" xfId="0">
      <alignment horizontal="right"/>
    </xf>
    <xf numFmtId="3" fontId="19" fillId="21" borderId="8" applyAlignment="1" pivotButton="0" quotePrefix="0" xfId="0">
      <alignment horizontal="right"/>
    </xf>
    <xf numFmtId="0" fontId="19" fillId="0" borderId="0" pivotButton="0" quotePrefix="0" xfId="0"/>
    <xf numFmtId="3" fontId="19" fillId="21" borderId="5" applyAlignment="1" pivotButton="0" quotePrefix="0" xfId="0">
      <alignment horizontal="right"/>
    </xf>
    <xf numFmtId="10" fontId="20" fillId="21" borderId="5" applyAlignment="1" pivotButton="0" quotePrefix="0" xfId="0">
      <alignment horizontal="right"/>
    </xf>
    <xf numFmtId="165" fontId="19" fillId="21" borderId="5" applyAlignment="1" pivotButton="0" quotePrefix="0" xfId="0">
      <alignment horizontal="right"/>
    </xf>
    <xf numFmtId="0" fontId="23" fillId="0" borderId="0" pivotButton="0" quotePrefix="0" xfId="0"/>
    <xf numFmtId="0" fontId="20" fillId="20" borderId="0" pivotButton="0" quotePrefix="0" xfId="0"/>
    <xf numFmtId="0" fontId="20" fillId="21" borderId="0" pivotButton="0" quotePrefix="0" xfId="0"/>
    <xf numFmtId="0" fontId="20" fillId="22" borderId="0" pivotButton="0" quotePrefix="0" xfId="0"/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zoomScaleNormal="100" workbookViewId="0">
      <selection activeCell="A28" sqref="A28"/>
    </sheetView>
  </sheetViews>
  <sheetFormatPr baseColWidth="10" defaultColWidth="8.6640625" defaultRowHeight="15"/>
  <cols>
    <col width="41" bestFit="1" customWidth="1" min="1" max="1"/>
    <col width="7.83203125" customWidth="1" min="2" max="2"/>
    <col width="2.83203125" customWidth="1" min="3" max="3"/>
    <col width="7.83203125" customWidth="1" min="4" max="9"/>
    <col width="2.83203125" customWidth="1" min="10" max="10"/>
    <col width="7.83203125" customWidth="1" min="11" max="12"/>
    <col width="2.83203125" customWidth="1" min="13" max="13"/>
    <col width="7.83203125" customWidth="1" min="14" max="15"/>
    <col width="2.83203125" customWidth="1" min="16" max="16"/>
    <col width="7.83203125" customWidth="1" min="17" max="18"/>
  </cols>
  <sheetData>
    <row r="1" ht="17.25" customHeight="1">
      <c r="A1" s="1" t="inlineStr">
        <is>
          <t>Proforma Evaluación</t>
        </is>
      </c>
    </row>
    <row r="2" ht="15" customHeight="1">
      <c r="A2" s="2" t="inlineStr">
        <is>
          <t>Superficies y valores</t>
        </is>
      </c>
    </row>
    <row r="3" ht="12" customFormat="1" customHeight="1" s="34">
      <c r="D3" s="39" t="n"/>
      <c r="E3" s="40" t="n">
        <v>0.5</v>
      </c>
      <c r="F3" s="40" t="n">
        <v>0.5</v>
      </c>
      <c r="G3" s="40" t="n">
        <v>0.4</v>
      </c>
      <c r="H3" s="40" t="n">
        <v>0.6</v>
      </c>
      <c r="I3" s="40" t="n">
        <v>0.5</v>
      </c>
      <c r="J3" s="41" t="n"/>
      <c r="N3" s="55" t="inlineStr">
        <is>
          <t>solo unidades</t>
        </is>
      </c>
      <c r="O3" s="134" t="n"/>
      <c r="P3" s="47" t="n"/>
      <c r="Q3" s="55" t="inlineStr">
        <is>
          <t>con 1 est + bod</t>
        </is>
      </c>
      <c r="R3" s="134" t="n"/>
    </row>
    <row r="4" ht="32.25" customFormat="1" customHeight="1" s="34">
      <c r="A4" s="3" t="inlineStr">
        <is>
          <t>Tipología</t>
        </is>
      </c>
      <c r="B4" s="3" t="inlineStr">
        <is>
          <t>Cant</t>
        </is>
      </c>
      <c r="C4" s="44" t="n"/>
      <c r="D4" s="48" t="inlineStr">
        <is>
          <t>m2 int</t>
        </is>
      </c>
      <c r="E4" s="49" t="inlineStr">
        <is>
          <t>m2 terr.</t>
        </is>
      </c>
      <c r="F4" s="49" t="inlineStr">
        <is>
          <t>m2 terr. azot.</t>
        </is>
      </c>
      <c r="G4" s="49" t="inlineStr">
        <is>
          <t>m2 bod. Habitable</t>
        </is>
      </c>
      <c r="H4" s="49" t="inlineStr">
        <is>
          <t>Uso y Goce</t>
        </is>
      </c>
      <c r="I4" s="50" t="inlineStr">
        <is>
          <t>m2 jardín</t>
        </is>
      </c>
      <c r="J4" s="32" t="n"/>
      <c r="K4" s="3" t="inlineStr">
        <is>
          <t>m2 totales</t>
        </is>
      </c>
      <c r="L4" s="3" t="inlineStr">
        <is>
          <t>m2 calc. venta</t>
        </is>
      </c>
      <c r="M4" s="44" t="n"/>
      <c r="N4" s="48" t="inlineStr">
        <is>
          <t>UF/m2</t>
        </is>
      </c>
      <c r="O4" s="50" t="inlineStr">
        <is>
          <t>UF</t>
        </is>
      </c>
      <c r="P4" s="32" t="n"/>
      <c r="Q4" s="3" t="inlineStr">
        <is>
          <t>UF/m2</t>
        </is>
      </c>
      <c r="R4" s="3" t="inlineStr">
        <is>
          <t>UF</t>
        </is>
      </c>
    </row>
    <row r="5" ht="15" customFormat="1" customHeight="1" s="34">
      <c r="A5" s="4" t="inlineStr">
        <is>
          <t>Taller 1</t>
        </is>
      </c>
      <c r="B5" s="6" t="n">
        <v>0</v>
      </c>
      <c r="C5" s="13" t="n"/>
      <c r="D5" s="20" t="n">
        <v>0</v>
      </c>
      <c r="E5" s="20" t="n">
        <v>0</v>
      </c>
      <c r="F5" s="20" t="n">
        <v>0</v>
      </c>
      <c r="G5" s="20" t="n">
        <v>0</v>
      </c>
      <c r="H5" s="20" t="n">
        <v>0</v>
      </c>
      <c r="I5" s="20" t="n">
        <v>0</v>
      </c>
      <c r="J5" s="42" t="n"/>
      <c r="K5" s="21">
        <f>SUM(D5:I5)</f>
        <v/>
      </c>
      <c r="L5" s="21">
        <f>D5+(E5*$E$3)+(F5*$F$3)+(G5*$G$3)+(H5*$H$3)+(I5*$I$3)</f>
        <v/>
      </c>
      <c r="M5" s="42" t="n"/>
      <c r="N5" s="20" t="n">
        <v>75</v>
      </c>
      <c r="O5" s="5">
        <f>IF(B5=0,0,N5*L5)</f>
        <v/>
      </c>
      <c r="P5" s="13" t="n"/>
      <c r="Q5" s="21">
        <f>IF(D5=0,0,R5/L5)</f>
        <v/>
      </c>
      <c r="R5" s="5">
        <f>IF(B5=0,0,O5+$B$31+$B$32)</f>
        <v/>
      </c>
    </row>
    <row r="6" ht="15" customFormat="1" customHeight="1" s="34">
      <c r="A6" s="4" t="inlineStr">
        <is>
          <t>Taller 2</t>
        </is>
      </c>
      <c r="B6" s="6" t="n">
        <v>0</v>
      </c>
      <c r="C6" s="13" t="n"/>
      <c r="D6" s="20" t="n">
        <v>0</v>
      </c>
      <c r="E6" s="20" t="n">
        <v>0</v>
      </c>
      <c r="F6" s="20" t="n">
        <v>0</v>
      </c>
      <c r="G6" s="20" t="n">
        <v>0</v>
      </c>
      <c r="H6" s="20" t="n">
        <v>0</v>
      </c>
      <c r="I6" s="20" t="n">
        <v>0</v>
      </c>
      <c r="J6" s="42" t="n"/>
      <c r="K6" s="21">
        <f>SUM(D6:I6)</f>
        <v/>
      </c>
      <c r="L6" s="21">
        <f>D6+(E6*$E$3)+(F6*$F$3)+(G6*$G$3)+(H6*$H$3)+(I6*$I$3)</f>
        <v/>
      </c>
      <c r="M6" s="42" t="n"/>
      <c r="N6" s="20" t="n">
        <v>75</v>
      </c>
      <c r="O6" s="5">
        <f>IF(B6=0,0,N6*L6)</f>
        <v/>
      </c>
      <c r="P6" s="13" t="n"/>
      <c r="Q6" s="21">
        <f>IF(D6=0,0,R6/L6)</f>
        <v/>
      </c>
      <c r="R6" s="5">
        <f>IF(B6=0,0,O6+$B$31+$B$32)</f>
        <v/>
      </c>
    </row>
    <row r="7" ht="15" customFormat="1" customHeight="1" s="34">
      <c r="A7" s="23" t="inlineStr">
        <is>
          <t>Local 1</t>
        </is>
      </c>
      <c r="B7" s="24" t="n">
        <v>1</v>
      </c>
      <c r="C7" s="45" t="n"/>
      <c r="D7" s="25" t="n">
        <v>38</v>
      </c>
      <c r="E7" s="25" t="n">
        <v>0</v>
      </c>
      <c r="F7" s="25" t="n">
        <v>0</v>
      </c>
      <c r="G7" s="25" t="n">
        <v>0</v>
      </c>
      <c r="H7" s="25" t="n">
        <v>0</v>
      </c>
      <c r="I7" s="25" t="n">
        <v>0</v>
      </c>
      <c r="J7" s="43" t="n"/>
      <c r="K7" s="26">
        <f>SUM(D7:I7)</f>
        <v/>
      </c>
      <c r="L7" s="26">
        <f>D7+(E7*$E$3)+(F7*$F$3)+(G7*$G$3)+(H7*$H$3)+(I7*$I$3)</f>
        <v/>
      </c>
      <c r="M7" s="43" t="n"/>
      <c r="N7" s="25" t="n">
        <v>75</v>
      </c>
      <c r="O7" s="27">
        <f>IF(B7=0,0,N7*L7)</f>
        <v/>
      </c>
      <c r="P7" s="45" t="n"/>
      <c r="Q7" s="26">
        <f>IF(D7=0,0,R7/L7)</f>
        <v/>
      </c>
      <c r="R7" s="27">
        <f>O7+$B$31+$B$32</f>
        <v/>
      </c>
    </row>
    <row r="8" ht="15" customFormat="1" customHeight="1" s="34">
      <c r="A8" s="7" t="inlineStr">
        <is>
          <t>Sub Total Locales</t>
        </is>
      </c>
      <c r="B8" s="8">
        <f>SUM(B5:B7)</f>
        <v/>
      </c>
      <c r="C8" s="33" t="n"/>
      <c r="D8" s="12">
        <f>SUM(D5:D7)</f>
        <v/>
      </c>
      <c r="E8" s="12">
        <f>SUM(E5:E7)</f>
        <v/>
      </c>
      <c r="F8" s="12">
        <f>SUM(F5:F7)</f>
        <v/>
      </c>
      <c r="G8" s="12">
        <f>SUM(G5:G7)</f>
        <v/>
      </c>
      <c r="H8" s="12">
        <f>SUM(H5:H7)</f>
        <v/>
      </c>
      <c r="I8" s="12">
        <f>SUM(I5:I7)</f>
        <v/>
      </c>
      <c r="J8" s="22" t="n"/>
      <c r="K8" s="12">
        <f>SUMPRODUCT(K5:K7,B5:B7)</f>
        <v/>
      </c>
      <c r="L8" s="12">
        <f>SUM(L5:L7)</f>
        <v/>
      </c>
      <c r="M8" s="22" t="n"/>
      <c r="N8" s="12">
        <f>SUMPRODUCT(N5:N7,B5:B7)/B8</f>
        <v/>
      </c>
      <c r="O8" s="8">
        <f>SUMPRODUCT(O5:O7,B5:B7)</f>
        <v/>
      </c>
      <c r="P8" s="33" t="n"/>
      <c r="Q8" s="12">
        <f>SUMPRODUCT(Q5:Q7,B5:B7)/B8</f>
        <v/>
      </c>
      <c r="R8" s="8">
        <f>SUMPRODUCT(R5:R7,B5:B7)</f>
        <v/>
      </c>
    </row>
    <row r="9" ht="15" customFormat="1" customHeight="1" s="34">
      <c r="A9" s="7" t="n"/>
      <c r="B9" s="33" t="n"/>
      <c r="C9" s="33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33" t="n"/>
      <c r="P9" s="33" t="n"/>
      <c r="Q9" s="22" t="n"/>
      <c r="R9" s="33" t="n"/>
    </row>
    <row r="10" ht="15" customFormat="1" customHeight="1" s="34">
      <c r="A10" s="4" t="inlineStr">
        <is>
          <t>Piso 2 - Tipo A</t>
        </is>
      </c>
      <c r="B10" s="6" t="n">
        <v>2</v>
      </c>
      <c r="C10" s="13" t="n"/>
      <c r="D10" s="20" t="n">
        <v>68.2</v>
      </c>
      <c r="E10" s="20" t="n">
        <v>3.3</v>
      </c>
      <c r="F10" s="20" t="n">
        <v>0</v>
      </c>
      <c r="G10" s="20" t="n">
        <v>0</v>
      </c>
      <c r="H10" s="20" t="n">
        <v>0</v>
      </c>
      <c r="I10" s="20" t="n">
        <v>0</v>
      </c>
      <c r="J10" s="42" t="n"/>
      <c r="K10" s="21">
        <f>SUM(D10:I10)</f>
        <v/>
      </c>
      <c r="L10" s="21">
        <f>D10+(E10*$E$3)+(F10*$F$3)+(G10*$G$3)+(H10*$H$3)+(I10*$I$3)</f>
        <v/>
      </c>
      <c r="M10" s="42" t="n"/>
      <c r="N10" s="20" t="n">
        <v>83</v>
      </c>
      <c r="O10" s="5">
        <f>IF(B10=0,0,N10*L10)</f>
        <v/>
      </c>
      <c r="P10" s="13" t="n"/>
      <c r="Q10" s="21">
        <f>IF(D10=0,0,R10/L10)</f>
        <v/>
      </c>
      <c r="R10" s="5">
        <f>O10+$B$31+$B$32</f>
        <v/>
      </c>
      <c r="S10" s="35" t="n"/>
      <c r="T10" s="35" t="n"/>
    </row>
    <row r="11" ht="15" customFormat="1" customHeight="1" s="34">
      <c r="A11" s="4" t="inlineStr">
        <is>
          <t>Piso 2 - Tipo B</t>
        </is>
      </c>
      <c r="B11" s="6" t="n">
        <v>3</v>
      </c>
      <c r="C11" s="13" t="n"/>
      <c r="D11" s="20" t="n">
        <v>61.1</v>
      </c>
      <c r="E11" s="20" t="n">
        <v>4.2</v>
      </c>
      <c r="F11" s="20" t="n">
        <v>0</v>
      </c>
      <c r="G11" s="20" t="n">
        <v>0</v>
      </c>
      <c r="H11" s="20" t="n">
        <v>0</v>
      </c>
      <c r="I11" s="20" t="n">
        <v>0</v>
      </c>
      <c r="J11" s="42" t="n"/>
      <c r="K11" s="21">
        <f>SUM(D11:I11)</f>
        <v/>
      </c>
      <c r="L11" s="21">
        <f>D11+(E11*$E$3)+(F11*$F$3)+(G11*$G$3)+(H11*$H$3)+(I11*$I$3)</f>
        <v/>
      </c>
      <c r="M11" s="42" t="n"/>
      <c r="N11" s="20" t="n">
        <v>83</v>
      </c>
      <c r="O11" s="5">
        <f>IF(B11=0,0,N11*L11)</f>
        <v/>
      </c>
      <c r="P11" s="13" t="n"/>
      <c r="Q11" s="21">
        <f>IF(D11=0,0,R11/L11)</f>
        <v/>
      </c>
      <c r="R11" s="5">
        <f>O11+$B$31+$B$32</f>
        <v/>
      </c>
      <c r="S11" s="35" t="n"/>
    </row>
    <row r="12" ht="15" customFormat="1" customHeight="1" s="34">
      <c r="A12" s="4" t="inlineStr">
        <is>
          <t>Piso 3-5 - Tipo A</t>
        </is>
      </c>
      <c r="B12" s="6" t="n">
        <v>6</v>
      </c>
      <c r="C12" s="13" t="n"/>
      <c r="D12" s="20" t="n">
        <v>69.8</v>
      </c>
      <c r="E12" s="20" t="n">
        <v>0</v>
      </c>
      <c r="F12" s="20" t="n">
        <v>0</v>
      </c>
      <c r="G12" s="20" t="n">
        <v>0</v>
      </c>
      <c r="H12" s="20" t="n">
        <v>0</v>
      </c>
      <c r="I12" s="20" t="n">
        <v>0</v>
      </c>
      <c r="J12" s="42" t="n"/>
      <c r="K12" s="21">
        <f>SUM(D12:I12)</f>
        <v/>
      </c>
      <c r="L12" s="21">
        <f>D12+(E12*$E$3)+(F12*$F$3)+(G12*$G$3)+(H12*$H$3)+(I12*$I$3)</f>
        <v/>
      </c>
      <c r="M12" s="42" t="n"/>
      <c r="N12" s="20" t="n">
        <v>83</v>
      </c>
      <c r="O12" s="5">
        <f>IF(B12=0,0,N12*L12)</f>
        <v/>
      </c>
      <c r="P12" s="13" t="n"/>
      <c r="Q12" s="21">
        <f>IF(D12=0,0,R12/L12)</f>
        <v/>
      </c>
      <c r="R12" s="5">
        <f>O12+$B$31+$B$32</f>
        <v/>
      </c>
      <c r="S12" s="35" t="n"/>
    </row>
    <row r="13" ht="15" customFormat="1" customHeight="1" s="34">
      <c r="A13" s="4" t="inlineStr">
        <is>
          <t>Piso 3-5 - Tipo B</t>
        </is>
      </c>
      <c r="B13" s="6" t="n">
        <v>9</v>
      </c>
      <c r="C13" s="13" t="n"/>
      <c r="D13" s="20" t="n">
        <v>63</v>
      </c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</v>
      </c>
      <c r="J13" s="42" t="n"/>
      <c r="K13" s="21">
        <f>SUM(D13:I13)</f>
        <v/>
      </c>
      <c r="L13" s="21">
        <f>D13+(E13*$E$3)+(F13*$F$3)+(G13*$G$3)+(H13*$H$3)+(I13*$I$3)</f>
        <v/>
      </c>
      <c r="M13" s="42" t="n"/>
      <c r="N13" s="20" t="n">
        <v>83</v>
      </c>
      <c r="O13" s="5">
        <f>IF(B13=0,0,N13*L13)</f>
        <v/>
      </c>
      <c r="P13" s="13" t="n"/>
      <c r="Q13" s="21">
        <f>IF(D13=0,0,R13/L13)</f>
        <v/>
      </c>
      <c r="R13" s="5">
        <f>O13+$B$31+$B$32</f>
        <v/>
      </c>
      <c r="S13" s="35" t="n"/>
    </row>
    <row r="14" ht="15" customFormat="1" customHeight="1" s="34">
      <c r="A14" s="4" t="inlineStr">
        <is>
          <t>Piso xxx</t>
        </is>
      </c>
      <c r="B14" s="6" t="n">
        <v>0</v>
      </c>
      <c r="C14" s="13" t="n"/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42" t="n"/>
      <c r="K14" s="21">
        <f>SUM(D14:I14)</f>
        <v/>
      </c>
      <c r="L14" s="21">
        <f>D14+(E14*$E$3)+(F14*$F$3)+(G14*$G$3)+(H14*$H$3)+(I14*$I$3)</f>
        <v/>
      </c>
      <c r="M14" s="42" t="n"/>
      <c r="N14" s="20" t="n">
        <v>0</v>
      </c>
      <c r="O14" s="5">
        <f>IF(B14=0,0,N14*L14)</f>
        <v/>
      </c>
      <c r="P14" s="13" t="n"/>
      <c r="Q14" s="21">
        <f>IF(D14=0,0,R14/L14)</f>
        <v/>
      </c>
      <c r="R14" s="5">
        <f>IF(B14=0,0,Q14*L14)</f>
        <v/>
      </c>
    </row>
    <row r="15" ht="15" customFormat="1" customHeight="1" s="34">
      <c r="A15" s="4" t="inlineStr">
        <is>
          <t>Piso xxx</t>
        </is>
      </c>
      <c r="B15" s="6" t="n">
        <v>0</v>
      </c>
      <c r="C15" s="13" t="n"/>
      <c r="D15" s="20" t="n">
        <v>0</v>
      </c>
      <c r="E15" s="20" t="n">
        <v>0</v>
      </c>
      <c r="F15" s="20" t="n">
        <v>0</v>
      </c>
      <c r="G15" s="20" t="n">
        <v>0</v>
      </c>
      <c r="H15" s="20" t="n">
        <v>0</v>
      </c>
      <c r="I15" s="20" t="n">
        <v>0</v>
      </c>
      <c r="J15" s="42" t="n"/>
      <c r="K15" s="21">
        <f>SUM(D15:I15)</f>
        <v/>
      </c>
      <c r="L15" s="21">
        <f>D15+(E15*$E$3)+(F15*$F$3)+(G15*$G$3)+(H15*$H$3)+(I15*$I$3)</f>
        <v/>
      </c>
      <c r="M15" s="42" t="n"/>
      <c r="N15" s="20" t="n">
        <v>0</v>
      </c>
      <c r="O15" s="5">
        <f>IF(B15=0,0,N15*L15)</f>
        <v/>
      </c>
      <c r="P15" s="13" t="n"/>
      <c r="Q15" s="21">
        <f>IF(D15=0,0,R15/L15)</f>
        <v/>
      </c>
      <c r="R15" s="5">
        <f>IF(B15=0,0,Q15*L15)</f>
        <v/>
      </c>
    </row>
    <row r="16" ht="15" customFormat="1" customHeight="1" s="34">
      <c r="A16" s="4" t="inlineStr">
        <is>
          <t>Piso xxx</t>
        </is>
      </c>
      <c r="B16" s="6" t="n">
        <v>0</v>
      </c>
      <c r="C16" s="13" t="n"/>
      <c r="D16" s="20" t="n">
        <v>0</v>
      </c>
      <c r="E16" s="20" t="n">
        <v>0</v>
      </c>
      <c r="F16" s="20" t="n">
        <v>0</v>
      </c>
      <c r="G16" s="20" t="n">
        <v>0</v>
      </c>
      <c r="H16" s="20" t="n">
        <v>0</v>
      </c>
      <c r="I16" s="20" t="n">
        <v>0</v>
      </c>
      <c r="J16" s="42" t="n"/>
      <c r="K16" s="21">
        <f>SUM(D16:I16)</f>
        <v/>
      </c>
      <c r="L16" s="21">
        <f>D16+(E16*$E$3)+(F16*$F$3)+(G16*$G$3)+(H16*$H$3)+(I16*$I$3)</f>
        <v/>
      </c>
      <c r="M16" s="42" t="n"/>
      <c r="N16" s="20" t="n">
        <v>0</v>
      </c>
      <c r="O16" s="5">
        <f>IF(B16=0,0,N16*L16)</f>
        <v/>
      </c>
      <c r="P16" s="13" t="n"/>
      <c r="Q16" s="21">
        <f>IF(D16=0,0,R16/L16)</f>
        <v/>
      </c>
      <c r="R16" s="5">
        <f>IF(B16=0,0,Q16*L16)</f>
        <v/>
      </c>
    </row>
    <row r="17" ht="15" customFormat="1" customHeight="1" s="34">
      <c r="A17" s="4" t="inlineStr">
        <is>
          <t>Piso xxx</t>
        </is>
      </c>
      <c r="B17" s="6" t="n">
        <v>0</v>
      </c>
      <c r="C17" s="13" t="n"/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  <c r="I17" s="20" t="n">
        <v>0</v>
      </c>
      <c r="J17" s="42" t="n"/>
      <c r="K17" s="21">
        <f>SUM(D17:I17)</f>
        <v/>
      </c>
      <c r="L17" s="21">
        <f>D17+(E17*$E$3)+(F17*$F$3)+(G17*$G$3)+(H17*$H$3)+(I17*$I$3)</f>
        <v/>
      </c>
      <c r="M17" s="42" t="n"/>
      <c r="N17" s="20" t="n">
        <v>0</v>
      </c>
      <c r="O17" s="5">
        <f>IF(B17=0,0,N17*L17)</f>
        <v/>
      </c>
      <c r="P17" s="13" t="n"/>
      <c r="Q17" s="21">
        <f>IF(D17=0,0,R17/L17)</f>
        <v/>
      </c>
      <c r="R17" s="5">
        <f>IF(B17=0,0,Q17*L17)</f>
        <v/>
      </c>
    </row>
    <row r="18" ht="15" customFormat="1" customHeight="1" s="34">
      <c r="A18" s="4" t="inlineStr">
        <is>
          <t>Piso xxx</t>
        </is>
      </c>
      <c r="B18" s="6" t="n">
        <v>0</v>
      </c>
      <c r="C18" s="13" t="n"/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42" t="n"/>
      <c r="K18" s="21">
        <f>SUM(D18:I18)</f>
        <v/>
      </c>
      <c r="L18" s="21">
        <f>D18+(E18*$E$3)+(F18*$F$3)+(G18*$G$3)+(H18*$H$3)+(I18*$I$3)</f>
        <v/>
      </c>
      <c r="M18" s="42" t="n"/>
      <c r="N18" s="20" t="n">
        <v>0</v>
      </c>
      <c r="O18" s="5">
        <f>IF(B18=0,0,N18*L18)</f>
        <v/>
      </c>
      <c r="P18" s="13" t="n"/>
      <c r="Q18" s="21">
        <f>IF(D18=0,0,R18/L18)</f>
        <v/>
      </c>
      <c r="R18" s="5">
        <f>IF(B18=0,0,Q18*L18)</f>
        <v/>
      </c>
    </row>
    <row r="19" ht="15" customFormat="1" customHeight="1" s="34">
      <c r="A19" s="23" t="inlineStr">
        <is>
          <t>Azotea libre</t>
        </is>
      </c>
      <c r="B19" s="24" t="n">
        <v>0</v>
      </c>
      <c r="C19" s="45" t="n"/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43" t="n"/>
      <c r="K19" s="26">
        <f>SUM(D19:I19)</f>
        <v/>
      </c>
      <c r="L19" s="26">
        <f>D19+(E19*$E$3)+(F19*$F$3)+(G19*$G$3)+(H19*$H$3)+(I19*$I$3)</f>
        <v/>
      </c>
      <c r="M19" s="43" t="n"/>
      <c r="N19" s="25" t="n">
        <v>0</v>
      </c>
      <c r="O19" s="27">
        <f>IF(B19=0,0,N19*L19)</f>
        <v/>
      </c>
      <c r="P19" s="45" t="n"/>
      <c r="Q19" s="26">
        <f>IF(D19=0,0,R19/L19)</f>
        <v/>
      </c>
      <c r="R19" s="27">
        <f>IF(B19=0,0,Q19*L19)</f>
        <v/>
      </c>
    </row>
    <row r="20" ht="15" customFormat="1" customHeight="1" s="34">
      <c r="A20" s="7" t="inlineStr">
        <is>
          <t>Sub Total Departamentos</t>
        </is>
      </c>
      <c r="B20" s="8">
        <f>SUM(B10:B19)</f>
        <v/>
      </c>
      <c r="C20" s="33" t="n"/>
      <c r="D20" s="12">
        <f>SUMPRODUCT(D10:D19,B10:B19)</f>
        <v/>
      </c>
      <c r="E20" s="12">
        <f>SUMPRODUCT(E10:E19,B10:B19)</f>
        <v/>
      </c>
      <c r="F20" s="12">
        <f>SUMPRODUCT(F10:F19,B10:B19)</f>
        <v/>
      </c>
      <c r="G20" s="12">
        <f>SUMPRODUCT(G10:G19,B10:B19)</f>
        <v/>
      </c>
      <c r="H20" s="12">
        <f>SUMPRODUCT(H10:H19,B10:B19)</f>
        <v/>
      </c>
      <c r="I20" s="12">
        <f>SUMPRODUCT(I10:I19,B10:B19)</f>
        <v/>
      </c>
      <c r="J20" s="22" t="n"/>
      <c r="K20" s="12">
        <f>SUMPRODUCT(K10:K19,B10:B19)</f>
        <v/>
      </c>
      <c r="L20" s="12">
        <f>SUMPRODUCT(L10:L19,B10:B19)</f>
        <v/>
      </c>
      <c r="M20" s="22" t="n"/>
      <c r="N20" s="12">
        <f>SUMPRODUCT(N10:N19,B10:B19)/B20</f>
        <v/>
      </c>
      <c r="O20" s="12">
        <f>SUMPRODUCT(O10:O19,B10:B19)</f>
        <v/>
      </c>
      <c r="P20" s="22" t="n"/>
      <c r="Q20" s="12">
        <f>SUMPRODUCT(Q10:Q19,B10:B19)/B20</f>
        <v/>
      </c>
      <c r="R20" s="12">
        <f>SUMPRODUCT(R10:R19,B10:B19)</f>
        <v/>
      </c>
    </row>
    <row r="21" ht="12" customFormat="1" customHeight="1" s="34">
      <c r="B21" s="35" t="n"/>
      <c r="C21" s="35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</row>
    <row r="22" ht="15" customFormat="1" customHeight="1" s="34">
      <c r="A22" s="28" t="inlineStr">
        <is>
          <t>Total</t>
        </is>
      </c>
      <c r="B22" s="29">
        <f>B8+B20</f>
        <v/>
      </c>
      <c r="C22" s="46" t="n"/>
      <c r="D22" s="30">
        <f>D8+D20</f>
        <v/>
      </c>
      <c r="E22" s="30">
        <f>E8+E20</f>
        <v/>
      </c>
      <c r="F22" s="30">
        <f>F8+F20</f>
        <v/>
      </c>
      <c r="G22" s="30">
        <f>G8+G20</f>
        <v/>
      </c>
      <c r="H22" s="30">
        <f>H8+H20</f>
        <v/>
      </c>
      <c r="I22" s="30">
        <f>I8+I20</f>
        <v/>
      </c>
      <c r="J22" s="31" t="n"/>
      <c r="K22" s="30">
        <f>K8+K20</f>
        <v/>
      </c>
      <c r="L22" s="30">
        <f>L8+L20</f>
        <v/>
      </c>
      <c r="M22" s="31" t="n"/>
      <c r="N22" s="31" t="n"/>
      <c r="O22" s="29">
        <f>O8+O20</f>
        <v/>
      </c>
      <c r="P22" s="46" t="n"/>
      <c r="Q22" s="37" t="n"/>
      <c r="R22" s="29">
        <f>R8+R20</f>
        <v/>
      </c>
    </row>
    <row r="23" ht="15" customFormat="1" customHeight="1" s="34">
      <c r="A23" s="7" t="inlineStr">
        <is>
          <t>Promedio</t>
        </is>
      </c>
      <c r="D23" s="12">
        <f>IF(B22=0,0,D22/B22)</f>
        <v/>
      </c>
      <c r="E23" s="12">
        <f>IF(B22=0,0,E22/B22)</f>
        <v/>
      </c>
      <c r="K23" s="12">
        <f>IF(B22=0,0,K22/B22)</f>
        <v/>
      </c>
      <c r="L23" s="12">
        <f>IF(B22=0,0,L22/B22)</f>
        <v/>
      </c>
      <c r="M23" s="22" t="n"/>
      <c r="N23" s="22" t="n"/>
      <c r="O23" s="8">
        <f>IF(B22=0,0,O22/B22)</f>
        <v/>
      </c>
      <c r="P23" s="33" t="n"/>
      <c r="R23" s="8">
        <f>IF(B22=0,0,R22/B22)</f>
        <v/>
      </c>
    </row>
    <row r="24" ht="12" customFormat="1" customHeight="1" s="34"/>
    <row r="25" ht="12" customFormat="1" customHeight="1" s="34">
      <c r="A25" s="34" t="inlineStr">
        <is>
          <t>Superficie Acceso Edificio</t>
        </is>
      </c>
      <c r="K25" s="54">
        <f>69-38</f>
        <v/>
      </c>
    </row>
    <row r="26" ht="12" customFormat="1" customHeight="1" s="34">
      <c r="A26" s="34" t="inlineStr">
        <is>
          <t>Superficie Estacionamientos Primer Piso</t>
        </is>
      </c>
      <c r="K26" s="54" t="n">
        <v>131</v>
      </c>
    </row>
    <row r="27" ht="12" customFormat="1" customHeight="1" s="34">
      <c r="A27" s="34" t="inlineStr">
        <is>
          <t>Superficie Bodegas / Salas Servicio Primer Piso</t>
        </is>
      </c>
      <c r="K27" s="54" t="n">
        <v>4</v>
      </c>
    </row>
    <row r="28" ht="12" customFormat="1" customHeight="1" s="34">
      <c r="A28" s="39" t="inlineStr">
        <is>
          <t>Superficie Circulaciones</t>
        </is>
      </c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53">
        <f>66*4+70-K25+7</f>
        <v/>
      </c>
    </row>
    <row r="29" ht="12" customFormat="1" customHeight="1" s="34">
      <c r="A29" s="51" t="inlineStr">
        <is>
          <t>Total</t>
        </is>
      </c>
      <c r="K29" s="52">
        <f>K22+K25+K28</f>
        <v/>
      </c>
    </row>
    <row r="30" ht="12" customFormat="1" customHeight="1" s="34"/>
    <row r="31" ht="12" customFormat="1" customHeight="1" s="34">
      <c r="A31" s="7" t="inlineStr">
        <is>
          <t>Precio Unitario Estacionamiento</t>
        </is>
      </c>
      <c r="B31" s="38" t="n">
        <v>330</v>
      </c>
    </row>
    <row r="32" ht="15" customFormat="1" customHeight="1" s="34">
      <c r="A32" s="7" t="inlineStr">
        <is>
          <t>Precio Unitario Bodega</t>
        </is>
      </c>
      <c r="B32" s="38" t="n">
        <v>80</v>
      </c>
      <c r="X32" s="34">
        <f>17+22+30+30+32</f>
        <v/>
      </c>
    </row>
    <row r="33" ht="15" customHeight="1"/>
    <row r="34" ht="15" customHeight="1">
      <c r="A34" s="7" t="inlineStr">
        <is>
          <t>Leyenda:</t>
        </is>
      </c>
    </row>
    <row r="35" ht="15" customHeight="1">
      <c r="A35" s="9" t="inlineStr">
        <is>
          <t xml:space="preserve">  Input (editable)</t>
        </is>
      </c>
    </row>
    <row r="36" ht="15" customHeight="1">
      <c r="A36" s="10" t="inlineStr">
        <is>
          <t xml:space="preserve">  Fórmula (calculada)</t>
        </is>
      </c>
    </row>
    <row r="37">
      <c r="A37" s="19" t="inlineStr">
        <is>
          <t xml:space="preserve">  Referencia cruzada (otra hoja)</t>
        </is>
      </c>
    </row>
    <row r="38">
      <c r="A38" s="11" t="inlineStr">
        <is>
          <t>Nota: J21 (Total m2 venta) alimenta Detalle Costos</t>
        </is>
      </c>
    </row>
  </sheetData>
  <mergeCells count="2">
    <mergeCell ref="N3:O3"/>
    <mergeCell ref="Q3:R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zoomScaleNormal="100" workbookViewId="0">
      <selection activeCell="E4" sqref="E4"/>
    </sheetView>
  </sheetViews>
  <sheetFormatPr baseColWidth="10" defaultColWidth="8.6640625" defaultRowHeight="12"/>
  <cols>
    <col width="5.6640625" customWidth="1" style="57" min="1" max="1"/>
    <col width="40" customWidth="1" style="57" min="2" max="2"/>
    <col width="12" customWidth="1" style="57" min="3" max="3"/>
    <col width="11.1640625" customWidth="1" style="57" min="4" max="4"/>
    <col width="9.33203125" customWidth="1" style="57" min="5" max="5"/>
    <col width="11.33203125" bestFit="1" customWidth="1" style="57" min="6" max="7"/>
    <col width="12" customWidth="1" style="57" min="8" max="8"/>
    <col width="8.6640625" customWidth="1" style="57" min="9" max="16384"/>
  </cols>
  <sheetData>
    <row r="1" ht="17.25" customHeight="1">
      <c r="A1" s="56" t="inlineStr">
        <is>
          <t>Detalle Costos</t>
        </is>
      </c>
    </row>
    <row r="2" ht="15" customHeight="1">
      <c r="D2" s="58" t="inlineStr">
        <is>
          <t>Ingresos Totales (UF) →</t>
        </is>
      </c>
      <c r="E2" s="59">
        <f>'Superficies y Valores'!R22</f>
        <v/>
      </c>
      <c r="F2" s="58" t="inlineStr">
        <is>
          <t>m2 útil total →</t>
        </is>
      </c>
      <c r="G2" s="60">
        <f>'Superficies y Valores'!L22</f>
        <v/>
      </c>
    </row>
    <row r="3" ht="15" customHeight="1">
      <c r="A3" s="3" t="inlineStr">
        <is>
          <t>Ítem</t>
        </is>
      </c>
      <c r="B3" s="3" t="inlineStr">
        <is>
          <t>Sub-ítem</t>
        </is>
      </c>
      <c r="C3" s="3" t="inlineStr">
        <is>
          <t>m2</t>
        </is>
      </c>
      <c r="D3" s="3" t="inlineStr">
        <is>
          <t>UF/m2</t>
        </is>
      </c>
      <c r="E3" s="3" t="inlineStr">
        <is>
          <t>UF</t>
        </is>
      </c>
      <c r="F3" s="3" t="inlineStr">
        <is>
          <t>% total ventas</t>
        </is>
      </c>
      <c r="G3" s="3" t="inlineStr">
        <is>
          <t>% total costos</t>
        </is>
      </c>
      <c r="H3" s="3" t="inlineStr">
        <is>
          <t>UF/m2 útil</t>
        </is>
      </c>
    </row>
    <row r="4" ht="15" customHeight="1">
      <c r="A4" s="61" t="inlineStr">
        <is>
          <t>Terreno</t>
        </is>
      </c>
      <c r="B4" s="62" t="n"/>
      <c r="C4" s="63" t="n">
        <v>1000</v>
      </c>
      <c r="D4" s="64">
        <f>IF(C4=0,0,E4/C4)</f>
        <v/>
      </c>
      <c r="E4" s="63">
        <f>SUM(E5:E7)</f>
        <v/>
      </c>
      <c r="F4" s="65">
        <f>IF($E$2=0,0,E4/$E$2)</f>
        <v/>
      </c>
      <c r="G4" s="65">
        <f>IF(E70=0,0,E4/E70)</f>
        <v/>
      </c>
      <c r="H4" s="66">
        <f>IF($G$2=0,0,E4/$G$2)</f>
        <v/>
      </c>
    </row>
    <row r="5" ht="15" customHeight="1">
      <c r="B5" s="67" t="inlineStr">
        <is>
          <t>Lote 1</t>
        </is>
      </c>
      <c r="C5" s="68" t="n">
        <v>1000</v>
      </c>
      <c r="D5" s="69" t="n">
        <v>11</v>
      </c>
      <c r="E5" s="70">
        <f>C5*D5</f>
        <v/>
      </c>
      <c r="F5" s="71">
        <f>IF($E$2=0,0,E5/$E$2)</f>
        <v/>
      </c>
      <c r="G5" s="71">
        <f>IF(E70=0,0,E5/E70)</f>
        <v/>
      </c>
      <c r="H5" s="72">
        <f>IF($G$2=0,0,E5/$G$2)</f>
        <v/>
      </c>
    </row>
    <row r="6" ht="15" customHeight="1">
      <c r="B6" s="67" t="inlineStr">
        <is>
          <t>Demolición</t>
        </is>
      </c>
      <c r="C6" s="68" t="n">
        <v>1000</v>
      </c>
      <c r="D6" s="69" t="n">
        <v>0.65</v>
      </c>
      <c r="E6" s="70">
        <f>C6*D6</f>
        <v/>
      </c>
      <c r="F6" s="71">
        <f>IF($E$2=0,0,E6/$E$2)</f>
        <v/>
      </c>
      <c r="G6" s="71">
        <f>IF(E70=0,0,E6/E70)</f>
        <v/>
      </c>
      <c r="H6" s="72">
        <f>IF($G$2=0,0,E6/$G$2)</f>
        <v/>
      </c>
    </row>
    <row r="7" ht="15" customHeight="1">
      <c r="A7" s="73" t="n">
        <v>0.0245</v>
      </c>
      <c r="B7" s="67" t="inlineStr">
        <is>
          <t>Corretaje / Estructuración</t>
        </is>
      </c>
      <c r="C7" s="74" t="n"/>
      <c r="D7" s="69" t="n">
        <v>0.26</v>
      </c>
      <c r="E7" s="75">
        <f>E5*A7</f>
        <v/>
      </c>
      <c r="F7" s="71">
        <f>IF($E$2=0,0,E7/$E$2)</f>
        <v/>
      </c>
      <c r="G7" s="71">
        <f>IF(E70=0,0,E7/E70)</f>
        <v/>
      </c>
      <c r="H7" s="72">
        <f>IF($G$2=0,0,E7/$G$2)</f>
        <v/>
      </c>
    </row>
    <row r="8" ht="15" customHeight="1">
      <c r="A8" s="76" t="inlineStr">
        <is>
          <t>Construcción con IVA</t>
        </is>
      </c>
      <c r="B8" s="77" t="n"/>
      <c r="C8" s="78">
        <f>C11</f>
        <v/>
      </c>
      <c r="D8" s="79">
        <f>IF(C8=0,0,E8/C8)</f>
        <v/>
      </c>
      <c r="E8" s="78">
        <f>E10+E9</f>
        <v/>
      </c>
      <c r="F8" s="80">
        <f>IF($E$2=0,0,E8/$E$2)</f>
        <v/>
      </c>
      <c r="G8" s="81">
        <f>IF(E70=0,0,E8/E70)</f>
        <v/>
      </c>
      <c r="H8" s="82">
        <f>IF($G$2=0,0,E8/$G$2)</f>
        <v/>
      </c>
    </row>
    <row r="9" ht="15" customHeight="1">
      <c r="A9" s="83" t="n">
        <v>0.19</v>
      </c>
      <c r="B9" s="84" t="inlineStr">
        <is>
          <t>IVA Construcción</t>
        </is>
      </c>
      <c r="C9" s="85">
        <f>C8</f>
        <v/>
      </c>
      <c r="D9" s="86" t="n">
        <v>4.79</v>
      </c>
      <c r="E9" s="87">
        <f>E10*A9</f>
        <v/>
      </c>
      <c r="F9" s="88">
        <f>IF($E$2=0,0,E9/$E$2)</f>
        <v/>
      </c>
      <c r="G9" s="88">
        <f>IF(E70=0,0,E9/E70)</f>
        <v/>
      </c>
      <c r="H9" s="89">
        <f>IF($G$2=0,0,E9/$G$2)</f>
        <v/>
      </c>
    </row>
    <row r="10" ht="15" customHeight="1">
      <c r="A10" s="61" t="inlineStr">
        <is>
          <t>Construcción sin IVA</t>
        </is>
      </c>
      <c r="B10" s="62" t="n"/>
      <c r="C10" s="63">
        <f>C8</f>
        <v/>
      </c>
      <c r="D10" s="64">
        <f>IF(C10=0,0,E10/C10)</f>
        <v/>
      </c>
      <c r="E10" s="63">
        <f>E12+E18+E22+E28+E38</f>
        <v/>
      </c>
      <c r="F10" s="65">
        <f>IF($E$2=0,0,E10/$E$2)</f>
        <v/>
      </c>
      <c r="G10" s="65">
        <f>IF(E70=0,0,E10/E70)</f>
        <v/>
      </c>
      <c r="H10" s="66">
        <f>IF($G$2=0,0,E10/$G$2)</f>
        <v/>
      </c>
    </row>
    <row r="11" ht="15" customHeight="1">
      <c r="A11" s="90" t="n"/>
      <c r="B11" s="91" t="inlineStr">
        <is>
          <t>(incluye techada exterior)</t>
        </is>
      </c>
      <c r="C11" s="92">
        <f>C12+C18+C22+C31+C35</f>
        <v/>
      </c>
      <c r="D11" s="93" t="n"/>
      <c r="E11" s="92">
        <f>E12+E18+E22+E31+E35</f>
        <v/>
      </c>
      <c r="F11" s="94">
        <f>F12+F18+F22+F31+F35</f>
        <v/>
      </c>
      <c r="G11" s="94">
        <f>G12+G18+G22+G31+G35</f>
        <v/>
      </c>
      <c r="H11" s="95">
        <f>H12+H18+H22+H31+H35</f>
        <v/>
      </c>
    </row>
    <row r="12" ht="15" customHeight="1">
      <c r="A12" s="90" t="n"/>
      <c r="B12" s="96" t="inlineStr">
        <is>
          <t>Departamentos</t>
        </is>
      </c>
      <c r="C12" s="97">
        <f>SUM(C13:C17)</f>
        <v/>
      </c>
      <c r="D12" s="98" t="n"/>
      <c r="E12" s="97">
        <f>SUM(E13:E17)</f>
        <v/>
      </c>
      <c r="F12" s="99">
        <f>SUM(F13:F17)</f>
        <v/>
      </c>
      <c r="G12" s="99">
        <f>SUM(G13:G17)</f>
        <v/>
      </c>
      <c r="H12" s="100">
        <f>SUM(H13:H17)</f>
        <v/>
      </c>
    </row>
    <row r="13" ht="15" customHeight="1">
      <c r="B13" s="101" t="inlineStr">
        <is>
          <t>Interior Departamentos</t>
        </is>
      </c>
      <c r="C13" s="102">
        <f>'Superficies y Valores'!D20</f>
        <v/>
      </c>
      <c r="D13" s="69" t="n">
        <v>28</v>
      </c>
      <c r="E13" s="70">
        <f>C13*D13</f>
        <v/>
      </c>
      <c r="F13" s="71">
        <f>IF($E$2=0,0,E13/$E$2)</f>
        <v/>
      </c>
      <c r="G13" s="71">
        <f>IF($E$70=0,0,E13/$E$70)</f>
        <v/>
      </c>
      <c r="H13" s="72">
        <f>IF($G$2=0,0,E13/$G$2)</f>
        <v/>
      </c>
    </row>
    <row r="14" ht="15" customHeight="1">
      <c r="B14" s="101" t="inlineStr">
        <is>
          <t>Uso y Goce</t>
        </is>
      </c>
      <c r="C14" s="103">
        <f>'Superficies y Valores'!H22</f>
        <v/>
      </c>
      <c r="D14" s="104" t="n">
        <v>0</v>
      </c>
      <c r="E14" s="70">
        <f>C14*D14</f>
        <v/>
      </c>
      <c r="F14" s="71">
        <f>IF($E$2=0,0,E14/$E$2)</f>
        <v/>
      </c>
      <c r="G14" s="71">
        <f>IF($E$70=0,0,E14/$E$70)</f>
        <v/>
      </c>
      <c r="H14" s="72">
        <f>IF($G$2=0,0,E14/$G$2)</f>
        <v/>
      </c>
    </row>
    <row r="15" ht="15" customHeight="1">
      <c r="B15" s="101" t="inlineStr">
        <is>
          <t>Interior Locales Comerciales</t>
        </is>
      </c>
      <c r="C15" s="103">
        <f>'Superficies y Valores'!D8</f>
        <v/>
      </c>
      <c r="D15" s="69" t="n">
        <v>25</v>
      </c>
      <c r="E15" s="70">
        <f>C15*D15</f>
        <v/>
      </c>
      <c r="F15" s="71">
        <f>IF($E$2=0,0,E15/$E$2)</f>
        <v/>
      </c>
      <c r="G15" s="71">
        <f>IF($E$70=0,0,E15/$E$70)</f>
        <v/>
      </c>
      <c r="H15" s="72">
        <f>IF($G$2=0,0,E15/$G$2)</f>
        <v/>
      </c>
    </row>
    <row r="16" ht="15" customHeight="1">
      <c r="B16" s="101" t="inlineStr">
        <is>
          <t>Terraza</t>
        </is>
      </c>
      <c r="C16" s="102">
        <f>'Superficies y Valores'!E20</f>
        <v/>
      </c>
      <c r="D16" s="69" t="n">
        <v>10</v>
      </c>
      <c r="E16" s="70">
        <f>C16*D16</f>
        <v/>
      </c>
      <c r="F16" s="71">
        <f>IF($E$2=0,0,E16/$E$2)</f>
        <v/>
      </c>
      <c r="G16" s="71">
        <f>IF($E$70=0,0,E16/$E$70)</f>
        <v/>
      </c>
      <c r="H16" s="72">
        <f>IF($G$2=0,0,E16/$G$2)</f>
        <v/>
      </c>
    </row>
    <row r="17" ht="15" customHeight="1">
      <c r="B17" s="101" t="inlineStr">
        <is>
          <t>Bodega habitable</t>
        </is>
      </c>
      <c r="C17" s="103">
        <f>'Superficies y Valores'!G20</f>
        <v/>
      </c>
      <c r="D17" s="104" t="n">
        <v>0</v>
      </c>
      <c r="E17" s="70">
        <f>C17*D17</f>
        <v/>
      </c>
      <c r="F17" s="71">
        <f>IF($E$2=0,0,E17/$E$2)</f>
        <v/>
      </c>
      <c r="G17" s="71">
        <f>IF($E$70=0,0,E17/$E$70)</f>
        <v/>
      </c>
      <c r="H17" s="72">
        <f>IF($G$2=0,0,E17/$G$2)</f>
        <v/>
      </c>
    </row>
    <row r="18" ht="15" customHeight="1">
      <c r="B18" s="105" t="inlineStr">
        <is>
          <t>Subterraneos</t>
        </is>
      </c>
      <c r="C18" s="106">
        <f>SUM(C19:C21)</f>
        <v/>
      </c>
      <c r="D18" s="107" t="n"/>
      <c r="E18" s="106">
        <f>SUM(E19:E21)</f>
        <v/>
      </c>
      <c r="F18" s="99">
        <f>SUM(F19:F21)</f>
        <v/>
      </c>
      <c r="G18" s="99">
        <f>SUM(G19:G21)</f>
        <v/>
      </c>
      <c r="H18" s="100">
        <f>SUM(H19:H21)</f>
        <v/>
      </c>
    </row>
    <row r="19" ht="15" customHeight="1">
      <c r="B19" s="101" t="inlineStr">
        <is>
          <t xml:space="preserve">Estacionamientos </t>
        </is>
      </c>
      <c r="C19" s="108" t="n">
        <v>0</v>
      </c>
      <c r="D19" s="69" t="n">
        <v>14</v>
      </c>
      <c r="E19" s="70">
        <f>C19*D19</f>
        <v/>
      </c>
      <c r="F19" s="71">
        <f>IF($E$2=0,0,E19/$E$2)</f>
        <v/>
      </c>
      <c r="G19" s="71">
        <f>IF($E$70=0,0,E19/$E$70)</f>
        <v/>
      </c>
      <c r="H19" s="72">
        <f>IF($G$2=0,0,E19/$G$2)</f>
        <v/>
      </c>
    </row>
    <row r="20" ht="15" customHeight="1">
      <c r="B20" s="101" t="inlineStr">
        <is>
          <t xml:space="preserve">Bodegas </t>
        </is>
      </c>
      <c r="C20" s="108" t="n">
        <v>0</v>
      </c>
      <c r="D20" s="69" t="n">
        <v>14</v>
      </c>
      <c r="E20" s="70">
        <f>C20*D20</f>
        <v/>
      </c>
      <c r="F20" s="71">
        <f>IF($E$2=0,0,E20/$E$2)</f>
        <v/>
      </c>
      <c r="G20" s="71">
        <f>IF($E$70=0,0,E20/$E$70)</f>
        <v/>
      </c>
      <c r="H20" s="72">
        <f>IF($G$2=0,0,E20/$G$2)</f>
        <v/>
      </c>
    </row>
    <row r="21" ht="15" customHeight="1">
      <c r="B21" s="101" t="inlineStr">
        <is>
          <t>Otras Superficies Comunes</t>
        </is>
      </c>
      <c r="C21" s="108" t="n">
        <v>0</v>
      </c>
      <c r="D21" s="69" t="n">
        <v>24</v>
      </c>
      <c r="E21" s="70">
        <f>C21*D21</f>
        <v/>
      </c>
      <c r="F21" s="71">
        <f>IF($E$2=0,0,E21/$E$2)</f>
        <v/>
      </c>
      <c r="G21" s="71">
        <f>IF($E$70=0,0,E21/$E$70)</f>
        <v/>
      </c>
      <c r="H21" s="72">
        <f>IF($G$2=0,0,E21/$G$2)</f>
        <v/>
      </c>
    </row>
    <row r="22" ht="15" customHeight="1">
      <c r="B22" s="105" t="inlineStr">
        <is>
          <t>Superficies Comunes</t>
        </is>
      </c>
      <c r="C22" s="106">
        <f>SUM(C23:C27)</f>
        <v/>
      </c>
      <c r="D22" s="109" t="n"/>
      <c r="E22" s="106">
        <f>SUM(E23:E27)</f>
        <v/>
      </c>
      <c r="F22" s="110">
        <f>SUM(F23:F27)</f>
        <v/>
      </c>
      <c r="G22" s="110">
        <f>SUM(G23:G27)</f>
        <v/>
      </c>
      <c r="H22" s="111">
        <f>SUM(H23:H27)</f>
        <v/>
      </c>
    </row>
    <row r="23" ht="15" customHeight="1">
      <c r="B23" s="101" t="inlineStr">
        <is>
          <t xml:space="preserve">Circulaciones </t>
        </is>
      </c>
      <c r="C23" s="103">
        <f>'Superficies y Valores'!K28</f>
        <v/>
      </c>
      <c r="D23" s="69" t="n">
        <v>24</v>
      </c>
      <c r="E23" s="70">
        <f>C23*D23</f>
        <v/>
      </c>
      <c r="F23" s="71">
        <f>IF($E$2=0,0,E23/$E$2)</f>
        <v/>
      </c>
      <c r="G23" s="71">
        <f>IF($E$70=0,0,E23/$E$70)</f>
        <v/>
      </c>
      <c r="H23" s="72">
        <f>IF($G$2=0,0,E23/$G$2)</f>
        <v/>
      </c>
    </row>
    <row r="24" ht="15" customHeight="1">
      <c r="B24" s="101" t="inlineStr">
        <is>
          <t>Superficie ascensores</t>
        </is>
      </c>
      <c r="C24" s="108" t="n">
        <v>0</v>
      </c>
      <c r="D24" s="69" t="n">
        <v>24</v>
      </c>
      <c r="E24" s="70">
        <f>C24*D24</f>
        <v/>
      </c>
      <c r="F24" s="71">
        <f>IF($E$2=0,0,E24/$E$2)</f>
        <v/>
      </c>
      <c r="G24" s="71">
        <f>IF($E$70=0,0,E24/$E$70)</f>
        <v/>
      </c>
      <c r="H24" s="72">
        <f>IF($G$2=0,0,E24/$G$2)</f>
        <v/>
      </c>
    </row>
    <row r="25" ht="15" customHeight="1">
      <c r="B25" s="101" t="inlineStr">
        <is>
          <t>Superficie acceso edificio</t>
        </is>
      </c>
      <c r="C25" s="102">
        <f>'Superficies y Valores'!K25</f>
        <v/>
      </c>
      <c r="D25" s="69" t="n">
        <v>28</v>
      </c>
      <c r="E25" s="70">
        <f>C25*D25</f>
        <v/>
      </c>
      <c r="F25" s="71">
        <f>IF($E$2=0,0,E25/$E$2)</f>
        <v/>
      </c>
      <c r="G25" s="71">
        <f>IF($E$70=0,0,E25/$E$70)</f>
        <v/>
      </c>
      <c r="H25" s="72">
        <f>IF($G$2=0,0,E25/$G$2)</f>
        <v/>
      </c>
    </row>
    <row r="26" ht="15" customHeight="1">
      <c r="B26" s="101" t="inlineStr">
        <is>
          <t>Azotea comun</t>
        </is>
      </c>
      <c r="C26" s="108" t="n">
        <v>0</v>
      </c>
      <c r="D26" s="69" t="n">
        <v>24</v>
      </c>
      <c r="E26" s="70">
        <f>C26*D26</f>
        <v/>
      </c>
      <c r="F26" s="71">
        <f>IF($E$2=0,0,E26/$E$2)</f>
        <v/>
      </c>
      <c r="G26" s="71">
        <f>IF($E$70=0,0,E26/$E$70)</f>
        <v/>
      </c>
      <c r="H26" s="72">
        <f>IF($G$2=0,0,E26/$G$2)</f>
        <v/>
      </c>
    </row>
    <row r="27" ht="15" customHeight="1">
      <c r="B27" s="101" t="inlineStr">
        <is>
          <t>Bodegas Primer Piso</t>
        </is>
      </c>
      <c r="C27" s="103">
        <f>'Superficies y Valores'!K27</f>
        <v/>
      </c>
      <c r="D27" s="69" t="n">
        <v>15</v>
      </c>
      <c r="E27" s="70">
        <f>C27*D27</f>
        <v/>
      </c>
      <c r="F27" s="71">
        <f>IF($E$2=0,0,E27/$E$2)</f>
        <v/>
      </c>
      <c r="G27" s="71">
        <f>IF($E$70=0,0,E27/$E$70)</f>
        <v/>
      </c>
      <c r="H27" s="72">
        <f>IF($G$2=0,0,E27/$G$2)</f>
        <v/>
      </c>
    </row>
    <row r="28" ht="15" customHeight="1">
      <c r="B28" s="105" t="inlineStr">
        <is>
          <t>Tratamiento Superficies Exteriores</t>
        </is>
      </c>
      <c r="C28" s="97">
        <f>SUM(C29:C37)</f>
        <v/>
      </c>
      <c r="D28" s="107" t="n"/>
      <c r="E28" s="97">
        <f>SUM(E29:E37)</f>
        <v/>
      </c>
      <c r="F28" s="99">
        <f>SUM(F29:F37)</f>
        <v/>
      </c>
      <c r="G28" s="99">
        <f>SUM(G29:G37)</f>
        <v/>
      </c>
      <c r="H28" s="100">
        <f>SUM(H29:H37)</f>
        <v/>
      </c>
    </row>
    <row r="29" ht="15" customHeight="1">
      <c r="B29" s="101" t="inlineStr">
        <is>
          <t>Urbanización</t>
        </is>
      </c>
      <c r="C29" s="102">
        <f>C5</f>
        <v/>
      </c>
      <c r="D29" s="104" t="n">
        <v>0</v>
      </c>
      <c r="E29" s="70">
        <f>C29*D29</f>
        <v/>
      </c>
      <c r="F29" s="71">
        <f>IF($E$2=0,0,E29/$E$2)</f>
        <v/>
      </c>
      <c r="G29" s="71">
        <f>IF($E$70=0,0,E29/$E$70)</f>
        <v/>
      </c>
      <c r="H29" s="72">
        <f>IF($G$2=0,0,E29/$G$2)</f>
        <v/>
      </c>
    </row>
    <row r="30" ht="15" customHeight="1">
      <c r="B30" s="101" t="inlineStr">
        <is>
          <t>Urbanización Área Afecta</t>
        </is>
      </c>
      <c r="C30" s="108" t="n">
        <v>0</v>
      </c>
      <c r="D30" s="69" t="n">
        <v>2</v>
      </c>
      <c r="E30" s="70">
        <f>C30*D30</f>
        <v/>
      </c>
      <c r="F30" s="71">
        <f>IF($E$2=0,0,E30/$E$2)</f>
        <v/>
      </c>
      <c r="G30" s="71">
        <f>IF($E$70=0,0,E30/$E$70)</f>
        <v/>
      </c>
      <c r="H30" s="72">
        <f>IF($G$2=0,0,E30/$G$2)</f>
        <v/>
      </c>
    </row>
    <row r="31" ht="15" customHeight="1">
      <c r="B31" s="101" t="inlineStr">
        <is>
          <t>Estacionamientos Primer Piso</t>
        </is>
      </c>
      <c r="C31" s="112">
        <f>'Superficies y Valores'!K26</f>
        <v/>
      </c>
      <c r="D31" s="69" t="n">
        <v>2</v>
      </c>
      <c r="E31" s="113">
        <f>C31*D31</f>
        <v/>
      </c>
      <c r="F31" s="71">
        <f>IF($E$2=0,0,E31/$E$2)</f>
        <v/>
      </c>
      <c r="G31" s="71">
        <f>IF($E$70=0,0,E31/$E$70)</f>
        <v/>
      </c>
      <c r="H31" s="72">
        <f>IF($G$2=0,0,E31/$G$2)</f>
        <v/>
      </c>
    </row>
    <row r="32" ht="15" customHeight="1">
      <c r="B32" s="101" t="inlineStr">
        <is>
          <t>Paisajismo comunes</t>
        </is>
      </c>
      <c r="C32" s="68" t="n">
        <v>100</v>
      </c>
      <c r="D32" s="69" t="n">
        <v>1.5</v>
      </c>
      <c r="E32" s="70">
        <f>C32*D32</f>
        <v/>
      </c>
      <c r="F32" s="71">
        <f>IF($E$2=0,0,E32/$E$2)</f>
        <v/>
      </c>
      <c r="G32" s="71">
        <f>IF($E$70=0,0,E32/$E$70)</f>
        <v/>
      </c>
      <c r="H32" s="72">
        <f>IF($G$2=0,0,E32/$G$2)</f>
        <v/>
      </c>
    </row>
    <row r="33" ht="15" customHeight="1">
      <c r="B33" s="101" t="inlineStr">
        <is>
          <t>Paisajismo jardines privados</t>
        </is>
      </c>
      <c r="C33" s="108" t="n">
        <v>0</v>
      </c>
      <c r="D33" s="69" t="n">
        <v>1</v>
      </c>
      <c r="E33" s="70">
        <f>C33*D33</f>
        <v/>
      </c>
      <c r="F33" s="71">
        <f>IF($E$2=0,0,E33/$E$2)</f>
        <v/>
      </c>
      <c r="G33" s="71">
        <f>IF($E$70=0,0,E33/$E$70)</f>
        <v/>
      </c>
      <c r="H33" s="72">
        <f>IF($G$2=0,0,E33/$G$2)</f>
        <v/>
      </c>
    </row>
    <row r="34" ht="15" customHeight="1">
      <c r="B34" s="101" t="inlineStr">
        <is>
          <t>Paisajismo con techo</t>
        </is>
      </c>
      <c r="C34" s="68" t="n">
        <v>400</v>
      </c>
      <c r="D34" s="69" t="n">
        <v>14</v>
      </c>
      <c r="E34" s="70">
        <f>C34*D34</f>
        <v/>
      </c>
      <c r="F34" s="71">
        <f>IF($E$2=0,0,E34/$E$2)</f>
        <v/>
      </c>
      <c r="G34" s="71">
        <f>IF($E$70=0,0,E34/$E$70)</f>
        <v/>
      </c>
      <c r="H34" s="72">
        <f>IF($G$2=0,0,E34/$G$2)</f>
        <v/>
      </c>
    </row>
    <row r="35" ht="15" customHeight="1">
      <c r="B35" s="101" t="inlineStr">
        <is>
          <t>Circulación Est. Primer Piso</t>
        </is>
      </c>
      <c r="C35" s="114" t="n">
        <v>0</v>
      </c>
      <c r="D35" s="69" t="n">
        <v>2</v>
      </c>
      <c r="E35" s="113">
        <f>C35*D35</f>
        <v/>
      </c>
      <c r="F35" s="71">
        <f>IF($E$2=0,0,E35/$E$2)</f>
        <v/>
      </c>
      <c r="G35" s="71">
        <f>IF($E$70=0,0,E35/$E$70)</f>
        <v/>
      </c>
      <c r="H35" s="72">
        <f>IF($G$2=0,0,E35/$G$2)</f>
        <v/>
      </c>
    </row>
    <row r="36" ht="15" customHeight="1">
      <c r="B36" s="101" t="inlineStr">
        <is>
          <t>Terraza Azotea Comun</t>
        </is>
      </c>
      <c r="C36" s="108" t="n">
        <v>0</v>
      </c>
      <c r="D36" s="69" t="n">
        <v>5</v>
      </c>
      <c r="E36" s="70">
        <f>C36*D36</f>
        <v/>
      </c>
      <c r="F36" s="71">
        <f>IF($E$2=0,0,E36/$E$2)</f>
        <v/>
      </c>
      <c r="G36" s="71">
        <f>IF($E$70=0,0,E36/$E$70)</f>
        <v/>
      </c>
      <c r="H36" s="72">
        <f>IF($G$2=0,0,E36/$G$2)</f>
        <v/>
      </c>
    </row>
    <row r="37" ht="15" customHeight="1">
      <c r="B37" s="101" t="inlineStr">
        <is>
          <t>Terrazas Azotea Departamentos</t>
        </is>
      </c>
      <c r="C37" s="108" t="n">
        <v>0</v>
      </c>
      <c r="D37" s="69" t="n">
        <v>5</v>
      </c>
      <c r="E37" s="70">
        <f>C37*D37</f>
        <v/>
      </c>
      <c r="F37" s="71">
        <f>IF($E$2=0,0,E37/$E$2)</f>
        <v/>
      </c>
      <c r="G37" s="71">
        <f>IF($E$70=0,0,E37/$E$70)</f>
        <v/>
      </c>
      <c r="H37" s="72">
        <f>IF($G$2=0,0,E37/$G$2)</f>
        <v/>
      </c>
    </row>
    <row r="38" ht="15" customHeight="1">
      <c r="B38" s="105" t="inlineStr">
        <is>
          <t>Obras Complementarias</t>
        </is>
      </c>
      <c r="C38" s="97">
        <f>SUM(C39:C45)</f>
        <v/>
      </c>
      <c r="D38" s="107" t="n"/>
      <c r="E38" s="97">
        <f>SUM(E39:E45)</f>
        <v/>
      </c>
      <c r="F38" s="99">
        <f>IF($E$2=0,0,E38/$E$2)</f>
        <v/>
      </c>
      <c r="G38" s="99">
        <f>SUM(G39:G45)</f>
        <v/>
      </c>
      <c r="H38" s="100">
        <f>SUM(H39:H45)</f>
        <v/>
      </c>
    </row>
    <row r="39" ht="15" customHeight="1">
      <c r="B39" s="101" t="inlineStr">
        <is>
          <t>Cierre Perimetral</t>
        </is>
      </c>
      <c r="C39" s="68" t="n">
        <v>200</v>
      </c>
      <c r="D39" s="69" t="n">
        <v>2</v>
      </c>
      <c r="E39" s="70">
        <f>C39*D39</f>
        <v/>
      </c>
      <c r="F39" s="71">
        <f>IF($E$2=0,0,E39/$E$2)</f>
        <v/>
      </c>
      <c r="G39" s="71">
        <f>IF($E$70=0,0,E39/$E$70)</f>
        <v/>
      </c>
      <c r="H39" s="72">
        <f>IF($G$2=0,0,E39/$G$2)</f>
        <v/>
      </c>
    </row>
    <row r="40" ht="15" customHeight="1">
      <c r="B40" s="101" t="inlineStr">
        <is>
          <t>Sala Común</t>
        </is>
      </c>
      <c r="C40" s="108" t="n">
        <v>0</v>
      </c>
      <c r="D40" s="69" t="n">
        <v>500</v>
      </c>
      <c r="E40" s="115" t="n">
        <v>0</v>
      </c>
      <c r="F40" s="71">
        <f>IF($E$2=0,0,E40/$E$2)</f>
        <v/>
      </c>
      <c r="G40" s="71">
        <f>IF($E$70=0,0,E40/$E$70)</f>
        <v/>
      </c>
      <c r="H40" s="72">
        <f>IF($G$2=0,0,E40/$G$2)</f>
        <v/>
      </c>
    </row>
    <row r="41" ht="15" customHeight="1">
      <c r="B41" s="101" t="inlineStr">
        <is>
          <t>Piscina</t>
        </is>
      </c>
      <c r="C41" s="68" t="n">
        <v>0</v>
      </c>
      <c r="D41" s="116" t="n">
        <v>0</v>
      </c>
      <c r="E41" s="115" t="n">
        <v>0</v>
      </c>
      <c r="F41" s="71">
        <f>IF($E$2=0,0,E41/$E$2)</f>
        <v/>
      </c>
      <c r="G41" s="71">
        <f>IF($E$70=0,0,E41/$E$70)</f>
        <v/>
      </c>
      <c r="H41" s="72">
        <f>IF($G$2=0,0,E41/$G$2)</f>
        <v/>
      </c>
    </row>
    <row r="42" ht="15" customHeight="1">
      <c r="B42" s="101" t="inlineStr">
        <is>
          <t>Deck</t>
        </is>
      </c>
      <c r="C42" s="68" t="n">
        <v>0</v>
      </c>
      <c r="D42" s="116" t="n">
        <v>0</v>
      </c>
      <c r="E42" s="115" t="n">
        <v>0</v>
      </c>
      <c r="F42" s="71">
        <f>IF($E$2=0,0,E42/$E$2)</f>
        <v/>
      </c>
      <c r="G42" s="71">
        <f>IF($E$70=0,0,E42/$E$70)</f>
        <v/>
      </c>
      <c r="H42" s="72">
        <f>IF($G$2=0,0,E42/$G$2)</f>
        <v/>
      </c>
    </row>
    <row r="43" ht="15" customHeight="1">
      <c r="B43" s="101" t="inlineStr">
        <is>
          <t>Movimientos de Tierra / Excavaciones</t>
        </is>
      </c>
      <c r="C43" s="108" t="n">
        <v>0</v>
      </c>
      <c r="D43" s="69" t="n">
        <v>1000</v>
      </c>
      <c r="E43" s="115" t="n">
        <v>0</v>
      </c>
      <c r="F43" s="71">
        <f>IF($E$2=0,0,E43/$E$2)</f>
        <v/>
      </c>
      <c r="G43" s="71">
        <f>IF($E$70=0,0,E43/$E$70)</f>
        <v/>
      </c>
      <c r="H43" s="72">
        <f>IF($G$2=0,0,E43/$G$2)</f>
        <v/>
      </c>
    </row>
    <row r="44" ht="15" customHeight="1">
      <c r="B44" s="101" t="inlineStr">
        <is>
          <t>Ascensor / Montacarga</t>
        </is>
      </c>
      <c r="C44" s="108" t="n">
        <v>0</v>
      </c>
      <c r="D44" s="69" t="n">
        <v>2000</v>
      </c>
      <c r="E44" s="115" t="n">
        <v>0</v>
      </c>
      <c r="F44" s="71">
        <f>IF($E$2=0,0,E44/$E$2)</f>
        <v/>
      </c>
      <c r="G44" s="71">
        <f>IF($E$70=0,0,E44/$E$70)</f>
        <v/>
      </c>
      <c r="H44" s="72">
        <f>IF($G$2=0,0,E44/$G$2)</f>
        <v/>
      </c>
    </row>
    <row r="45" ht="15" customHeight="1">
      <c r="B45" s="101" t="inlineStr">
        <is>
          <t>Otros</t>
        </is>
      </c>
      <c r="C45" s="108" t="n">
        <v>0</v>
      </c>
      <c r="D45" s="116" t="n">
        <v>0</v>
      </c>
      <c r="E45" s="115" t="n">
        <v>0</v>
      </c>
      <c r="F45" s="71">
        <f>IF($E$2=0,0,E45/$E$2)</f>
        <v/>
      </c>
      <c r="G45" s="71">
        <f>IF($E$70=0,0,E45/$E$70)</f>
        <v/>
      </c>
      <c r="H45" s="72">
        <f>IF($G$2=0,0,E45/$G$2)</f>
        <v/>
      </c>
    </row>
    <row r="46" ht="15" customHeight="1">
      <c r="A46" s="61" t="inlineStr">
        <is>
          <t>Proyectos / Permisos / Empalmes</t>
        </is>
      </c>
      <c r="B46" s="62" t="n"/>
      <c r="C46" s="117" t="n"/>
      <c r="D46" s="62" t="n"/>
      <c r="E46" s="63">
        <f>SUM(E47:E54)</f>
        <v/>
      </c>
      <c r="F46" s="65">
        <f>IF($E$2=0,0,E46/$E$2)</f>
        <v/>
      </c>
      <c r="G46" s="62">
        <f>IF(E70=0,0,E46/E70)</f>
        <v/>
      </c>
      <c r="H46" s="66">
        <f>IF($G$2=0,0,E46/$G$2)</f>
        <v/>
      </c>
    </row>
    <row r="47" ht="15" customHeight="1">
      <c r="B47" s="67" t="inlineStr">
        <is>
          <t>Arquitectura</t>
        </is>
      </c>
      <c r="C47" s="118">
        <f>C11</f>
        <v/>
      </c>
      <c r="D47" s="119" t="n">
        <v>0.77</v>
      </c>
      <c r="E47" s="70">
        <f>C47*D47</f>
        <v/>
      </c>
      <c r="F47" s="71">
        <f>IF($E$2=0,0,E47/$E$2)</f>
        <v/>
      </c>
      <c r="G47" s="71">
        <f>IF(E70=0,0,E47/E70)</f>
        <v/>
      </c>
      <c r="H47" s="72">
        <f>IF($G$2=0,0,E47/$G$2)</f>
        <v/>
      </c>
    </row>
    <row r="48" ht="15" customHeight="1">
      <c r="B48" s="67" t="inlineStr">
        <is>
          <t>Cálculo</t>
        </is>
      </c>
      <c r="C48" s="68">
        <f>C47</f>
        <v/>
      </c>
      <c r="D48" s="119" t="n">
        <v>0.15</v>
      </c>
      <c r="E48" s="70">
        <f>C48*D48</f>
        <v/>
      </c>
      <c r="F48" s="71">
        <f>IF($E$2=0,0,E48/$E$2)</f>
        <v/>
      </c>
      <c r="G48" s="71">
        <f>IF(E70=0,0,E48/E70)</f>
        <v/>
      </c>
      <c r="H48" s="72">
        <f>IF($G$2=0,0,E48/$G$2)</f>
        <v/>
      </c>
    </row>
    <row r="49" ht="15" customHeight="1">
      <c r="B49" s="67" t="inlineStr">
        <is>
          <t>Especialidades</t>
        </is>
      </c>
      <c r="C49" s="68">
        <f>C47</f>
        <v/>
      </c>
      <c r="D49" s="119" t="n">
        <v>0.5</v>
      </c>
      <c r="E49" s="70">
        <f>C49*D49</f>
        <v/>
      </c>
      <c r="F49" s="71">
        <f>IF($E$2=0,0,E49/$E$2)</f>
        <v/>
      </c>
      <c r="G49" s="71">
        <f>IF(E70=0,0,E49/E70)</f>
        <v/>
      </c>
      <c r="H49" s="72">
        <f>IF($G$2=0,0,E49/$G$2)</f>
        <v/>
      </c>
    </row>
    <row r="50" ht="15" customHeight="1">
      <c r="B50" s="67" t="inlineStr">
        <is>
          <t>ITO Licitación y Coordinación</t>
        </is>
      </c>
      <c r="C50" s="68" t="n">
        <v>1</v>
      </c>
      <c r="D50" s="120" t="n">
        <v>0</v>
      </c>
      <c r="E50" s="115" t="n">
        <v>0</v>
      </c>
      <c r="F50" s="71">
        <f>IF($E$2=0,0,E50/$E$2)</f>
        <v/>
      </c>
      <c r="G50" s="71">
        <f>IF(E70=0,0,E50/E70)</f>
        <v/>
      </c>
      <c r="H50" s="72">
        <f>IF($G$2=0,0,E50/$G$2)</f>
        <v/>
      </c>
    </row>
    <row r="51" ht="15" customHeight="1">
      <c r="B51" s="67" t="inlineStr">
        <is>
          <t>ITO (UF/mes)</t>
        </is>
      </c>
      <c r="C51" s="68" t="n">
        <v>20</v>
      </c>
      <c r="D51" s="119" t="n">
        <v>95</v>
      </c>
      <c r="E51" s="70">
        <f>C51*D51</f>
        <v/>
      </c>
      <c r="F51" s="71">
        <f>IF($E$2=0,0,E51/$E$2)</f>
        <v/>
      </c>
      <c r="G51" s="71">
        <f>IF(E70=0,0,E51/E70)</f>
        <v/>
      </c>
      <c r="H51" s="72">
        <f>IF($G$2=0,0,E51/$G$2)</f>
        <v/>
      </c>
    </row>
    <row r="52" ht="15" customHeight="1">
      <c r="B52" s="67" t="inlineStr">
        <is>
          <t>Requerimiento Espacio Público / Otros</t>
        </is>
      </c>
      <c r="C52" s="108" t="n">
        <v>1</v>
      </c>
      <c r="D52" s="119" t="n">
        <v>600</v>
      </c>
      <c r="E52" s="70">
        <f>C52*D52</f>
        <v/>
      </c>
      <c r="F52" s="71">
        <f>IF($E$2=0,0,E52/$E$2)</f>
        <v/>
      </c>
      <c r="G52" s="71">
        <f>IF(E70=0,0,E52/E70)</f>
        <v/>
      </c>
      <c r="H52" s="72">
        <f>IF($G$2=0,0,E52/$G$2)</f>
        <v/>
      </c>
    </row>
    <row r="53" ht="15" customHeight="1">
      <c r="B53" s="67" t="inlineStr">
        <is>
          <t>Derechos Municipales</t>
        </is>
      </c>
      <c r="C53" s="68">
        <f>C47</f>
        <v/>
      </c>
      <c r="D53" s="119" t="n">
        <v>0.3</v>
      </c>
      <c r="E53" s="70">
        <f>C53*D53</f>
        <v/>
      </c>
      <c r="F53" s="71">
        <f>IF($E$2=0,0,E53/$E$2)</f>
        <v/>
      </c>
      <c r="G53" s="71">
        <f>IF(E70=0,0,E53/E70)</f>
        <v/>
      </c>
      <c r="H53" s="72">
        <f>IF($G$2=0,0,E53/$G$2)</f>
        <v/>
      </c>
    </row>
    <row r="54" ht="15" customHeight="1">
      <c r="B54" s="67" t="inlineStr">
        <is>
          <t>Empalmes</t>
        </is>
      </c>
      <c r="C54" s="68">
        <f>C47</f>
        <v/>
      </c>
      <c r="D54" s="119" t="n">
        <v>1.2</v>
      </c>
      <c r="E54" s="70">
        <f>C54*D54</f>
        <v/>
      </c>
      <c r="F54" s="71">
        <f>IF($E$2=0,0,E54/$E$2)</f>
        <v/>
      </c>
      <c r="G54" s="71">
        <f>IF(E70=0,0,E54/E70)</f>
        <v/>
      </c>
      <c r="H54" s="72">
        <f>IF($G$2=0,0,E54/$G$2)</f>
        <v/>
      </c>
    </row>
    <row r="55" ht="15" customHeight="1">
      <c r="A55" s="61" t="inlineStr">
        <is>
          <t>Administración / Ventas / Legales</t>
        </is>
      </c>
      <c r="B55" s="62" t="n"/>
      <c r="C55" s="62" t="n"/>
      <c r="D55" s="62" t="n"/>
      <c r="E55" s="63">
        <f>SUM(E56:E64)</f>
        <v/>
      </c>
      <c r="F55" s="65">
        <f>SUM(F56:F64)</f>
        <v/>
      </c>
      <c r="G55" s="121">
        <f>SUM(G56:G64)</f>
        <v/>
      </c>
      <c r="H55" s="66">
        <f>SUM(H56:H64)</f>
        <v/>
      </c>
    </row>
    <row r="56" ht="15" customHeight="1">
      <c r="B56" s="67" t="inlineStr">
        <is>
          <t>Gestión de Proyecto 360 inmobiliaria</t>
        </is>
      </c>
      <c r="C56" s="122" t="n">
        <v>0.0417</v>
      </c>
      <c r="D56" s="67" t="inlineStr">
        <is>
          <t>ventas</t>
        </is>
      </c>
      <c r="E56" s="70">
        <f>C56*$E$2</f>
        <v/>
      </c>
      <c r="F56" s="71">
        <f>IF($E$2=0,0,E56/$E$2)</f>
        <v/>
      </c>
      <c r="G56" s="71">
        <f>IF(E70=0,0,E56/E70)</f>
        <v/>
      </c>
      <c r="H56" s="72">
        <f>IF($G$2=0,0,E56/$G$2)</f>
        <v/>
      </c>
    </row>
    <row r="57" ht="15" customHeight="1">
      <c r="B57" s="67" t="inlineStr">
        <is>
          <t>Gestión de Venta</t>
        </is>
      </c>
      <c r="C57" s="122" t="n">
        <v>0.0238</v>
      </c>
      <c r="D57" s="67" t="inlineStr">
        <is>
          <t>ventas</t>
        </is>
      </c>
      <c r="E57" s="70">
        <f>C57*$E$2</f>
        <v/>
      </c>
      <c r="F57" s="71">
        <f>IF($E$2=0,0,E57/$E$2)</f>
        <v/>
      </c>
      <c r="G57" s="71">
        <f>IF(E70=0,0,E57/E70)</f>
        <v/>
      </c>
      <c r="H57" s="72">
        <f>IF($G$2=0,0,E57/$G$2)</f>
        <v/>
      </c>
    </row>
    <row r="58" ht="15" customHeight="1">
      <c r="B58" s="67" t="inlineStr">
        <is>
          <t>Marketing Administración</t>
        </is>
      </c>
      <c r="C58" s="122" t="n">
        <v>0</v>
      </c>
      <c r="D58" s="67" t="inlineStr">
        <is>
          <t>ventas</t>
        </is>
      </c>
      <c r="E58" s="70">
        <f>C58*$E$2</f>
        <v/>
      </c>
      <c r="F58" s="71">
        <f>IF($E$2=0,0,E58/$E$2)</f>
        <v/>
      </c>
      <c r="G58" s="71">
        <f>IF(E70=0,0,E58/E70)</f>
        <v/>
      </c>
      <c r="H58" s="72">
        <f>IF($G$2=0,0,E58/$G$2)</f>
        <v/>
      </c>
    </row>
    <row r="59" ht="15" customHeight="1">
      <c r="B59" s="67" t="inlineStr">
        <is>
          <t>Marketing Producción</t>
        </is>
      </c>
      <c r="C59" s="122" t="n">
        <v>0.0119</v>
      </c>
      <c r="D59" s="67" t="inlineStr">
        <is>
          <t>ventas</t>
        </is>
      </c>
      <c r="E59" s="70">
        <f>C59*$E$2</f>
        <v/>
      </c>
      <c r="F59" s="71">
        <f>IF($E$2=0,0,E59/$E$2)</f>
        <v/>
      </c>
      <c r="G59" s="71">
        <f>IF(E70=0,0,E59/E70)</f>
        <v/>
      </c>
      <c r="H59" s="72">
        <f>IF($G$2=0,0,E59/$G$2)</f>
        <v/>
      </c>
    </row>
    <row r="60" ht="15" customHeight="1">
      <c r="B60" s="67" t="inlineStr">
        <is>
          <t>Legales</t>
        </is>
      </c>
      <c r="C60" s="122" t="n">
        <v>0.006</v>
      </c>
      <c r="D60" s="67" t="inlineStr">
        <is>
          <t>ventas</t>
        </is>
      </c>
      <c r="E60" s="70">
        <f>C60*$E$2</f>
        <v/>
      </c>
      <c r="F60" s="71">
        <f>IF($E$2=0,0,E60/$E$2)</f>
        <v/>
      </c>
      <c r="G60" s="71">
        <f>IF(E70=0,0,E60/E70)</f>
        <v/>
      </c>
      <c r="H60" s="72">
        <f>IF($G$2=0,0,E60/$G$2)</f>
        <v/>
      </c>
    </row>
    <row r="61" ht="15" customHeight="1">
      <c r="B61" s="67" t="inlineStr">
        <is>
          <t>Pólizas Venta en Verde</t>
        </is>
      </c>
      <c r="E61" s="68" t="n">
        <v>214</v>
      </c>
      <c r="F61" s="71">
        <f>IF($E$2=0,0,E61/$E$2)</f>
        <v/>
      </c>
      <c r="G61" s="123">
        <f>IF(E70=0,0,E61/E70)</f>
        <v/>
      </c>
      <c r="H61" s="72">
        <f>IF($G$2=0,0,E61/$G$2)</f>
        <v/>
      </c>
    </row>
    <row r="62" ht="15" customHeight="1">
      <c r="B62" s="67" t="inlineStr">
        <is>
          <t>Imprevistos</t>
        </is>
      </c>
      <c r="C62" s="122" t="n">
        <v>0.025</v>
      </c>
      <c r="D62" s="67" t="inlineStr">
        <is>
          <t>costo construcción</t>
        </is>
      </c>
      <c r="E62" s="70">
        <f>C62*E10</f>
        <v/>
      </c>
      <c r="F62" s="71">
        <f>IF($E$2=0,0,E62/$E$2)</f>
        <v/>
      </c>
      <c r="G62" s="71">
        <f>IF(E70=0,0,E62/E70)</f>
        <v/>
      </c>
      <c r="H62" s="72">
        <f>IF($G$2=0,0,E62/$G$2)</f>
        <v/>
      </c>
    </row>
    <row r="63" ht="15" customHeight="1">
      <c r="B63" s="67" t="inlineStr">
        <is>
          <t>Post Venta</t>
        </is>
      </c>
      <c r="C63" s="122" t="n">
        <v>0.02</v>
      </c>
      <c r="D63" s="67" t="inlineStr">
        <is>
          <t>costo construcción</t>
        </is>
      </c>
      <c r="E63" s="70">
        <f>C63*E10</f>
        <v/>
      </c>
      <c r="F63" s="71">
        <f>IF($E$2=0,0,E63/$E$2)</f>
        <v/>
      </c>
      <c r="G63" s="71">
        <f>IF(E70=0,0,E63/E70)</f>
        <v/>
      </c>
      <c r="H63" s="72">
        <f>IF($G$2=0,0,E63/$G$2)</f>
        <v/>
      </c>
    </row>
    <row r="64" ht="15" customHeight="1">
      <c r="B64" s="67" t="inlineStr">
        <is>
          <t>Otros</t>
        </is>
      </c>
      <c r="C64" s="122" t="n">
        <v>0.035</v>
      </c>
      <c r="D64" s="67" t="inlineStr">
        <is>
          <t>costo construcción</t>
        </is>
      </c>
      <c r="E64" s="70">
        <f>C64*E10</f>
        <v/>
      </c>
      <c r="F64" s="71">
        <f>IF($E$2=0,0,E64/$E$2)</f>
        <v/>
      </c>
      <c r="G64" s="71">
        <f>IF(E70=0,0,E64/E70)</f>
        <v/>
      </c>
      <c r="H64" s="72">
        <f>IF($G$2=0,0,E64/$G$2)</f>
        <v/>
      </c>
    </row>
    <row r="65" ht="15" customHeight="1">
      <c r="H65" s="124" t="n"/>
    </row>
    <row r="66" ht="15" customHeight="1">
      <c r="A66" s="61" t="inlineStr">
        <is>
          <t>TOTAL INVERSIÓN</t>
        </is>
      </c>
      <c r="B66" s="62" t="n"/>
      <c r="C66" s="62" t="n"/>
      <c r="D66" s="62" t="n"/>
      <c r="E66" s="63">
        <f>E4+E10+E46+E55</f>
        <v/>
      </c>
      <c r="F66" s="65">
        <f>IF($E$2=0,0,E66/$E$2)</f>
        <v/>
      </c>
      <c r="G66" s="65">
        <f>IF(E70=0,0,E66/E70)</f>
        <v/>
      </c>
      <c r="H66" s="66">
        <f>IF($G$2=0,0,E66/$G$2)</f>
        <v/>
      </c>
    </row>
    <row r="67" ht="15" customHeight="1">
      <c r="A67" s="125" t="n">
        <v>0.035</v>
      </c>
      <c r="B67" s="61" t="inlineStr">
        <is>
          <t>COSTO FINANCIERO</t>
        </is>
      </c>
      <c r="C67" s="62" t="n"/>
      <c r="D67" s="62" t="n"/>
      <c r="E67" s="130">
        <f>E66*A67</f>
        <v/>
      </c>
      <c r="F67" s="65">
        <f>IF($E$2=0,0,E67/$E$2)</f>
        <v/>
      </c>
      <c r="G67" s="65">
        <f>IF(E70=0,0,E67/E70)</f>
        <v/>
      </c>
      <c r="H67" s="66">
        <f>IF($G$2=0,0,E67/$G$2)</f>
        <v/>
      </c>
    </row>
    <row r="68" ht="15" customHeight="1">
      <c r="A68" s="61" t="inlineStr">
        <is>
          <t>COSTO TOTAL ANTES DE IVA</t>
        </is>
      </c>
      <c r="B68" s="62" t="n"/>
      <c r="C68" s="62" t="n"/>
      <c r="D68" s="62" t="n"/>
      <c r="E68" s="63">
        <f>E66+E67</f>
        <v/>
      </c>
      <c r="F68" s="65">
        <f>IF($E$2=0,0,E68/$E$2)</f>
        <v/>
      </c>
      <c r="G68" s="65">
        <f>IF(E70=0,0,E68/E70)</f>
        <v/>
      </c>
      <c r="H68" s="66">
        <f>IF($G$2=0,0,E68/$G$2)</f>
        <v/>
      </c>
    </row>
    <row r="69" ht="15" customHeight="1">
      <c r="A69" s="73" t="n">
        <v>0.038</v>
      </c>
      <c r="B69" s="61" t="inlineStr">
        <is>
          <t>COSTO IVA A PAGAR</t>
        </is>
      </c>
      <c r="C69" s="62" t="n"/>
      <c r="D69" s="62" t="n"/>
      <c r="E69" s="130">
        <f>E68*A69</f>
        <v/>
      </c>
      <c r="F69" s="65">
        <f>IF($E$2=0,0,E69/$E$2)</f>
        <v/>
      </c>
      <c r="G69" s="65">
        <f>IF(E70=0,0,E69/E70)</f>
        <v/>
      </c>
      <c r="H69" s="66">
        <f>IF($G$2=0,0,E69/$G$2)</f>
        <v/>
      </c>
    </row>
    <row r="70" ht="15" customHeight="1">
      <c r="A70" s="61" t="inlineStr">
        <is>
          <t>COSTO TOTAL CON IVA A PAGAR</t>
        </is>
      </c>
      <c r="B70" s="62" t="n"/>
      <c r="C70" s="62" t="n"/>
      <c r="D70" s="62" t="n"/>
      <c r="E70" s="63">
        <f>E68+E69</f>
        <v/>
      </c>
      <c r="F70" s="65">
        <f>IF($E$2=0,0,E70/$E$2)</f>
        <v/>
      </c>
      <c r="G70" s="65">
        <f>IF(E70=0,0,E70/E70)</f>
        <v/>
      </c>
      <c r="H70" s="66">
        <f>IF($G$2=0,0,E70/$G$2)</f>
        <v/>
      </c>
    </row>
    <row r="73" ht="15" customHeight="1">
      <c r="A73" s="90" t="inlineStr">
        <is>
          <t>Leyenda:</t>
        </is>
      </c>
    </row>
    <row r="74" ht="15" customHeight="1">
      <c r="A74" s="126" t="inlineStr">
        <is>
          <t xml:space="preserve">  Input (editable)</t>
        </is>
      </c>
    </row>
    <row r="75" ht="15" customHeight="1">
      <c r="A75" s="127" t="inlineStr">
        <is>
          <t xml:space="preserve">  Fórmula (calculada)</t>
        </is>
      </c>
    </row>
    <row r="76" ht="15" customHeight="1">
      <c r="A76" s="128" t="inlineStr">
        <is>
          <t xml:space="preserve">  Referencia cruzada (otra hoja)</t>
        </is>
      </c>
    </row>
    <row r="77" ht="15" customHeight="1">
      <c r="A77" s="129" t="inlineStr">
        <is>
          <t>Nota: Los totales alimentan la hoja 'Resultados'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tabSelected="1" zoomScaleNormal="100" workbookViewId="0">
      <selection activeCell="H15" sqref="H15"/>
    </sheetView>
  </sheetViews>
  <sheetFormatPr baseColWidth="10" defaultColWidth="8.6640625" defaultRowHeight="15"/>
  <cols>
    <col width="14.83203125" customWidth="1" min="1" max="1"/>
    <col width="16.5" customWidth="1" min="2" max="2"/>
    <col width="14" customWidth="1" min="4" max="4"/>
  </cols>
  <sheetData>
    <row r="1" ht="17.25" customHeight="1">
      <c r="A1" s="1" t="inlineStr">
        <is>
          <t>Resultados</t>
        </is>
      </c>
    </row>
    <row r="2" ht="15" customHeight="1">
      <c r="A2" s="11" t="inlineStr">
        <is>
          <t>Vinculado: Ingresos ← Superficies | Costos ← Detalle Costos</t>
        </is>
      </c>
    </row>
    <row r="3" ht="15" customHeight="1">
      <c r="A3" s="2" t="inlineStr">
        <is>
          <t>Resultados</t>
        </is>
      </c>
    </row>
    <row r="4" ht="15" customHeight="1">
      <c r="A4" s="14" t="inlineStr">
        <is>
          <t>RESULTADOS</t>
        </is>
      </c>
    </row>
    <row r="5" ht="15" customHeight="1">
      <c r="D5" s="15" t="inlineStr">
        <is>
          <t>UF</t>
        </is>
      </c>
    </row>
    <row r="6" ht="15" customHeight="1">
      <c r="A6" s="7" t="inlineStr">
        <is>
          <t>Ingresos</t>
        </is>
      </c>
      <c r="B6" s="4" t="n"/>
      <c r="D6" s="18">
        <f>'Superficies y Valores'!R22</f>
        <v/>
      </c>
    </row>
    <row r="7" ht="15" customHeight="1">
      <c r="A7" s="7" t="inlineStr">
        <is>
          <t>Costo</t>
        </is>
      </c>
      <c r="B7" s="4" t="inlineStr">
        <is>
          <t>Proyecto Puro</t>
        </is>
      </c>
      <c r="D7" s="18">
        <f>'Detalle Costos'!E68</f>
        <v/>
      </c>
    </row>
    <row r="8" ht="15" customHeight="1">
      <c r="A8" s="7" t="n"/>
      <c r="B8" s="4" t="inlineStr">
        <is>
          <t>Proyecto Financiado</t>
        </is>
      </c>
      <c r="D8" s="18">
        <f>'Detalle Costos'!E70</f>
        <v/>
      </c>
    </row>
    <row r="9" ht="15" customHeight="1">
      <c r="A9" s="7" t="n"/>
      <c r="B9" s="4" t="n"/>
      <c r="D9" s="15" t="n"/>
    </row>
    <row r="10" ht="15" customHeight="1">
      <c r="A10" s="7" t="inlineStr">
        <is>
          <t>Capital</t>
        </is>
      </c>
      <c r="B10" s="4" t="inlineStr">
        <is>
          <t>Requerido Flujo</t>
        </is>
      </c>
      <c r="C10" s="131" t="n">
        <v>0.2</v>
      </c>
      <c r="D10" s="132">
        <f>D7*C10</f>
        <v/>
      </c>
    </row>
    <row r="11" ht="15" customHeight="1">
      <c r="A11" s="7" t="n"/>
      <c r="B11" s="4" t="inlineStr">
        <is>
          <t>Requerido s/terreno</t>
        </is>
      </c>
      <c r="C11" s="131" t="n">
        <v>0.7</v>
      </c>
      <c r="D11" s="132">
        <f>C11*'Detalle Costos'!E4</f>
        <v/>
      </c>
    </row>
    <row r="12" ht="15" customHeight="1">
      <c r="A12" s="7" t="n"/>
      <c r="B12" s="4" t="n"/>
      <c r="D12" s="15" t="n"/>
    </row>
    <row r="13" ht="15" customHeight="1">
      <c r="A13" s="7" t="inlineStr">
        <is>
          <t>Margen</t>
        </is>
      </c>
      <c r="B13" s="4" t="inlineStr">
        <is>
          <t>UF</t>
        </is>
      </c>
      <c r="D13" s="16">
        <f>D6-D8</f>
        <v/>
      </c>
    </row>
    <row r="14" ht="15" customHeight="1">
      <c r="B14" s="4" t="inlineStr">
        <is>
          <t>% Ventas</t>
        </is>
      </c>
      <c r="D14" s="17">
        <f>IF(D6=0,0,D13/D6)</f>
        <v/>
      </c>
    </row>
    <row r="15" ht="15" customHeight="1">
      <c r="B15" s="4" t="inlineStr">
        <is>
          <t>% Costo Total</t>
        </is>
      </c>
      <c r="D15" s="17">
        <f>IF(D8=0,0,D13/D8)</f>
        <v/>
      </c>
    </row>
    <row r="16" ht="15" customHeight="1">
      <c r="B16" s="4" t="inlineStr">
        <is>
          <t>% Capital Flujo</t>
        </is>
      </c>
      <c r="D16" s="17">
        <f>(D10+D11)/D13</f>
        <v/>
      </c>
    </row>
    <row r="18" ht="15" customHeight="1">
      <c r="A18" s="7" t="inlineStr">
        <is>
          <t>TIR</t>
        </is>
      </c>
      <c r="B18" s="135" t="inlineStr">
        <is>
          <t>Proyecto Puro</t>
        </is>
      </c>
      <c r="D18" s="136">
        <f>'VAN y TIR'!C69</f>
        <v/>
      </c>
    </row>
    <row r="19" ht="15" customHeight="1">
      <c r="B19" s="135" t="inlineStr">
        <is>
          <t>Proyecto Financiado</t>
        </is>
      </c>
      <c r="D19" s="136">
        <f>'VAN y TIR'!C70</f>
        <v/>
      </c>
    </row>
    <row r="21" ht="15" customHeight="1">
      <c r="A21" s="7" t="inlineStr">
        <is>
          <t>Leyenda:</t>
        </is>
      </c>
    </row>
    <row r="22" ht="15" customHeight="1">
      <c r="A22" s="9" t="inlineStr">
        <is>
          <t xml:space="preserve">  Input (editable)</t>
        </is>
      </c>
    </row>
    <row r="23" ht="15" customHeight="1">
      <c r="A23" s="10" t="inlineStr">
        <is>
          <t xml:space="preserve">  Fórmula (calculada)</t>
        </is>
      </c>
    </row>
    <row r="24" ht="15" customHeight="1">
      <c r="A24" s="19" t="inlineStr">
        <is>
          <t xml:space="preserve">  Referencia cruzada (otra hoja)</t>
        </is>
      </c>
    </row>
    <row r="25" ht="15" customHeight="1">
      <c r="A25" s="11" t="inlineStr">
        <is>
          <t>Nota: Esc2 recalcula ingresos y costos ajustando por ratio de precio UF/m2</t>
        </is>
      </c>
    </row>
    <row r="26" ht="15" customHeight="1">
      <c r="A26" s="11" t="inlineStr">
        <is>
          <t>Nota: Capital y TIR son inputs manuales (provienen del modelo de flujo de caja)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13" customWidth="1" min="12" max="12"/>
    <col width="14" customWidth="1" min="13" max="13"/>
    <col width="14" customWidth="1" min="14" max="14"/>
  </cols>
  <sheetData>
    <row r="1" ht="17.25" customHeight="1">
      <c r="A1" s="137" t="inlineStr">
        <is>
          <t>VAN y TIR — Análisis de Rentabilidad</t>
        </is>
      </c>
    </row>
    <row r="2" ht="15" customHeight="1">
      <c r="A2" s="138" t="inlineStr">
        <is>
          <t>Modelo de Flujos de Caja Mensual</t>
        </is>
      </c>
    </row>
    <row r="3" ht="15" customHeight="1">
      <c r="A3" s="139" t="inlineStr">
        <is>
          <t>PARÁMETROS DE EVALUACIÓN</t>
        </is>
      </c>
    </row>
    <row r="4" ht="13.5" customHeight="1">
      <c r="A4" s="135" t="inlineStr">
        <is>
          <t>Tasa de descuento mensual (input)</t>
        </is>
      </c>
      <c r="C4" s="140" t="n">
        <v>0.01</v>
      </c>
    </row>
    <row r="5" ht="13.5" customHeight="1">
      <c r="A5" s="135" t="inlineStr">
        <is>
          <t>Tasa de descuento anual equivalente</t>
        </is>
      </c>
      <c r="C5" s="141">
        <f>(1+C4)^12-1</f>
        <v/>
      </c>
    </row>
    <row r="6" ht="13.5" customHeight="1">
      <c r="A6" s="135" t="inlineStr">
        <is>
          <t>Período de análisis (meses)</t>
        </is>
      </c>
      <c r="C6" s="142" t="n">
        <v>24</v>
      </c>
    </row>
    <row r="7" ht="13.5" customHeight="1">
      <c r="A7" s="135" t="inlineStr">
        <is>
          <t>Duración de construcción (meses)</t>
        </is>
      </c>
      <c r="C7" s="142" t="n">
        <v>20</v>
      </c>
    </row>
    <row r="8" ht="13.5" customHeight="1">
      <c r="A8" s="135" t="inlineStr">
        <is>
          <t>Mes de inicio de pre-ventas (input)</t>
        </is>
      </c>
      <c r="C8" s="142" t="n">
        <v>3</v>
      </c>
    </row>
    <row r="9" ht="13.5" customHeight="1">
      <c r="A9" s="135" t="inlineStr">
        <is>
          <t>Mes de entrega — recepción final (input)</t>
        </is>
      </c>
      <c r="C9" s="142" t="n">
        <v>21</v>
      </c>
    </row>
    <row r="10" ht="13.5" customHeight="1">
      <c r="A10" s="135" t="inlineStr">
        <is>
          <t>% Ingresos cobrados en pre-venta (input)</t>
        </is>
      </c>
      <c r="C10" s="143" t="n">
        <v>0.3</v>
      </c>
    </row>
    <row r="11" ht="13.5" customHeight="1">
      <c r="A11" s="135" t="inlineStr">
        <is>
          <t>Mes inicio — Proyectos, Permisos y Empalmes (input)</t>
        </is>
      </c>
      <c r="C11" s="142" t="n">
        <v>0</v>
      </c>
    </row>
    <row r="12" ht="13.5" customHeight="1">
      <c r="A12" s="135" t="inlineStr">
        <is>
          <t>Mes término — Proyectos, Permisos y Empalmes (input)</t>
        </is>
      </c>
      <c r="C12" s="142" t="n">
        <v>4</v>
      </c>
    </row>
    <row r="13" ht="6" customHeight="1"/>
    <row r="14" ht="15" customHeight="1">
      <c r="A14" s="139" t="inlineStr">
        <is>
          <t>DATOS DEL PROYECTO (referencias a otras hojas)</t>
        </is>
      </c>
    </row>
    <row r="15" ht="13.5" customHeight="1">
      <c r="A15" s="135" t="inlineStr">
        <is>
          <t>Ingresos Totales</t>
        </is>
      </c>
      <c r="C15" s="144">
        <f>'Superficies y Valores'!R22</f>
        <v/>
      </c>
      <c r="D15" s="135" t="inlineStr">
        <is>
          <t>UF</t>
        </is>
      </c>
    </row>
    <row r="16" ht="13.5" customHeight="1">
      <c r="A16" s="135" t="inlineStr">
        <is>
          <t>Costo Terreno</t>
        </is>
      </c>
      <c r="C16" s="144">
        <f>'Detalle Costos'!E4</f>
        <v/>
      </c>
      <c r="D16" s="135" t="inlineStr">
        <is>
          <t>UF</t>
        </is>
      </c>
    </row>
    <row r="17" ht="13.5" customHeight="1">
      <c r="A17" s="135" t="inlineStr">
        <is>
          <t>Costo Construcción sin IVA</t>
        </is>
      </c>
      <c r="C17" s="144">
        <f>'Detalle Costos'!E10</f>
        <v/>
      </c>
      <c r="D17" s="135" t="inlineStr">
        <is>
          <t>UF</t>
        </is>
      </c>
    </row>
    <row r="18" ht="13.5" customHeight="1">
      <c r="A18" s="135" t="inlineStr">
        <is>
          <t>Costos Proyectos, Permisos y Empalmes</t>
        </is>
      </c>
      <c r="C18" s="144">
        <f>'Detalle Costos'!E46</f>
        <v/>
      </c>
      <c r="D18" s="135" t="inlineStr">
        <is>
          <t>UF</t>
        </is>
      </c>
    </row>
    <row r="19" ht="13.5" customHeight="1">
      <c r="A19" s="135" t="inlineStr">
        <is>
          <t>Costos Adm., Gestión y Ventas</t>
        </is>
      </c>
      <c r="C19" s="144">
        <f>'Detalle Costos'!E55</f>
        <v/>
      </c>
      <c r="D19" s="135" t="inlineStr">
        <is>
          <t>UF</t>
        </is>
      </c>
    </row>
    <row r="20" ht="13.5" customHeight="1">
      <c r="A20" s="135" t="inlineStr">
        <is>
          <t>Costo Financiero</t>
        </is>
      </c>
      <c r="C20" s="144">
        <f>'Detalle Costos'!E67</f>
        <v/>
      </c>
      <c r="D20" s="135" t="inlineStr">
        <is>
          <t>UF</t>
        </is>
      </c>
    </row>
    <row r="21" ht="13.5" customHeight="1">
      <c r="A21" s="135" t="inlineStr">
        <is>
          <t>IVA a Pagar</t>
        </is>
      </c>
      <c r="C21" s="144">
        <f>'Detalle Costos'!E69</f>
        <v/>
      </c>
      <c r="D21" s="135" t="inlineStr">
        <is>
          <t>UF</t>
        </is>
      </c>
    </row>
    <row r="22" ht="13.5" customHeight="1">
      <c r="A22" s="135" t="inlineStr">
        <is>
          <t>Costo Total Proyecto Puro (sin IVA a pagar)</t>
        </is>
      </c>
      <c r="C22" s="144">
        <f>'Detalle Costos'!E68</f>
        <v/>
      </c>
      <c r="D22" s="135" t="inlineStr">
        <is>
          <t>UF</t>
        </is>
      </c>
    </row>
    <row r="23" ht="13.5" customHeight="1">
      <c r="A23" s="135" t="inlineStr">
        <is>
          <t>Costo Total Proyecto Financiado (con IVA a pagar)</t>
        </is>
      </c>
      <c r="C23" s="144">
        <f>'Detalle Costos'!E70</f>
        <v/>
      </c>
      <c r="D23" s="135" t="inlineStr">
        <is>
          <t>UF</t>
        </is>
      </c>
    </row>
    <row r="24" ht="6" customHeight="1"/>
    <row r="25" ht="15" customHeight="1">
      <c r="A25" s="139" t="inlineStr">
        <is>
          <t>SUPUESTOS DE DISTRIBUCIÓN TEMPORAL</t>
        </is>
      </c>
    </row>
    <row r="26" ht="13" customHeight="1">
      <c r="A26" s="145" t="inlineStr">
        <is>
          <t>• Terreno: 100 % en el mes 0</t>
        </is>
      </c>
    </row>
    <row r="27" ht="13" customHeight="1">
      <c r="A27" s="145" t="inlineStr">
        <is>
          <t>• Construcción sin IVA: distribuido uniformemente en los meses 1 a C7</t>
        </is>
      </c>
    </row>
    <row r="28" ht="13" customHeight="1">
      <c r="A28" s="145" t="inlineStr">
        <is>
          <t>• Proyectos, Permisos y Empalmes: distribuido uniformemente en los meses C11 a C12 (ajustable)</t>
        </is>
      </c>
    </row>
    <row r="29" ht="13" customHeight="1">
      <c r="A29" s="145" t="inlineStr">
        <is>
          <t>• Adm., Gestión y Ventas: distribuido uniformemente desde el mes C8 hasta el mes C9</t>
        </is>
      </c>
    </row>
    <row r="30" ht="13" customHeight="1">
      <c r="A30" s="145" t="inlineStr">
        <is>
          <t>• Costo Financiero e IVA a Pagar: íntegramente en el mes de entrega (C9)</t>
        </is>
      </c>
    </row>
    <row r="31" ht="13" customHeight="1">
      <c r="A31" s="145" t="inlineStr">
        <is>
          <t>• Ingresos Pre-venta (C10 = 30 %): distribuidos uniformemente desde el mes C8 hasta el mes C9-1</t>
        </is>
      </c>
    </row>
    <row r="32" ht="13" customHeight="1">
      <c r="A32" s="145" t="inlineStr">
        <is>
          <t>• Ingresos de Entrega (1-C10 = 70 %): íntegramente en el mes de entrega (C9)</t>
        </is>
      </c>
    </row>
    <row r="33" ht="15" customHeight="1">
      <c r="A33" s="139" t="inlineStr">
        <is>
          <t>TABLA DE FLUJOS DE CAJA (montos en UF)</t>
        </is>
      </c>
    </row>
    <row r="34" ht="32.25" customHeight="1">
      <c r="A34" s="146" t="inlineStr">
        <is>
          <t>Mes</t>
        </is>
      </c>
      <c r="B34" s="146" t="inlineStr">
        <is>
          <t>Ing. Pre-venta</t>
        </is>
      </c>
      <c r="C34" s="146" t="inlineStr">
        <is>
          <t>Ing. Entrega</t>
        </is>
      </c>
      <c r="D34" s="146" t="inlineStr">
        <is>
          <t>Total Ingresos</t>
        </is>
      </c>
      <c r="E34" s="146" t="inlineStr">
        <is>
          <t>Terreno</t>
        </is>
      </c>
      <c r="F34" s="146" t="inlineStr">
        <is>
          <t>Construcción</t>
        </is>
      </c>
      <c r="G34" s="146" t="inlineStr">
        <is>
          <t>Proy. y Permisos</t>
        </is>
      </c>
      <c r="H34" s="146" t="inlineStr">
        <is>
          <t>Adm. y Ventas</t>
        </is>
      </c>
      <c r="I34" s="146" t="inlineStr">
        <is>
          <t>Costo Financiero</t>
        </is>
      </c>
      <c r="J34" s="146" t="inlineStr">
        <is>
          <t>Total Egresos Puro</t>
        </is>
      </c>
      <c r="K34" s="146" t="inlineStr">
        <is>
          <t>Flujo Neto Puro</t>
        </is>
      </c>
      <c r="L34" s="146" t="inlineStr">
        <is>
          <t>IVA a Pagar</t>
        </is>
      </c>
      <c r="M34" s="146" t="inlineStr">
        <is>
          <t>Total Egresos Financiado</t>
        </is>
      </c>
      <c r="N34" s="146" t="inlineStr">
        <is>
          <t>Flujo Neto Financiado</t>
        </is>
      </c>
    </row>
    <row r="35" ht="13" customHeight="1">
      <c r="A35" s="147" t="n">
        <v>0</v>
      </c>
      <c r="B35" s="148">
        <f>IF(AND($A35&gt;=$C$8,$A35&lt;=$C$9-1),$C$15*$C$10/($C$9-$C$8),0)</f>
        <v/>
      </c>
      <c r="C35" s="148">
        <f>IF($A35=$C$9,$C$15*(1-$C$10),0)</f>
        <v/>
      </c>
      <c r="D35" s="149">
        <f>B35+C35</f>
        <v/>
      </c>
      <c r="E35" s="148">
        <f>IF($A35=0,$C$16,0)</f>
        <v/>
      </c>
      <c r="F35" s="148">
        <f>IF(AND($A35&gt;=1,$A35&lt;=$C$7),$C$17/$C$7,0)</f>
        <v/>
      </c>
      <c r="G35" s="148">
        <f>IF(AND($A35&gt;=$C$11,$A35&lt;=$C$12),$C$18/($C$12-$C$11+1),0)</f>
        <v/>
      </c>
      <c r="H35" s="148">
        <f>IF(AND($A35&gt;=$C$8,$A35&lt;=$C$9),$C$19/($C$9-$C$8+1),0)</f>
        <v/>
      </c>
      <c r="I35" s="148">
        <f>IF($A35=$C$9,$C$20,0)</f>
        <v/>
      </c>
      <c r="J35" s="149">
        <f>E35+F35+G35+H35+I35</f>
        <v/>
      </c>
      <c r="K35" s="149">
        <f>D35-J35</f>
        <v/>
      </c>
      <c r="L35" s="148">
        <f>IF($A35=$C$9,$C$21,0)</f>
        <v/>
      </c>
      <c r="M35" s="149">
        <f>J35+L35</f>
        <v/>
      </c>
      <c r="N35" s="149">
        <f>D35-M35</f>
        <v/>
      </c>
    </row>
    <row r="36" ht="13" customHeight="1">
      <c r="A36" s="147" t="n">
        <v>1</v>
      </c>
      <c r="B36" s="148">
        <f>IF(AND($A36&gt;=$C$8,$A36&lt;=$C$9-1),$C$15*$C$10/($C$9-$C$8),0)</f>
        <v/>
      </c>
      <c r="C36" s="148">
        <f>IF($A36=$C$9,$C$15*(1-$C$10),0)</f>
        <v/>
      </c>
      <c r="D36" s="149">
        <f>B36+C36</f>
        <v/>
      </c>
      <c r="E36" s="148">
        <f>IF($A36=0,$C$16,0)</f>
        <v/>
      </c>
      <c r="F36" s="148">
        <f>IF(AND($A36&gt;=1,$A36&lt;=$C$7),$C$17/$C$7,0)</f>
        <v/>
      </c>
      <c r="G36" s="148">
        <f>IF(AND($A36&gt;=$C$11,$A36&lt;=$C$12),$C$18/($C$12-$C$11+1),0)</f>
        <v/>
      </c>
      <c r="H36" s="148">
        <f>IF(AND($A36&gt;=$C$8,$A36&lt;=$C$9),$C$19/($C$9-$C$8+1),0)</f>
        <v/>
      </c>
      <c r="I36" s="148">
        <f>IF($A36=$C$9,$C$20,0)</f>
        <v/>
      </c>
      <c r="J36" s="149">
        <f>E36+F36+G36+H36+I36</f>
        <v/>
      </c>
      <c r="K36" s="149">
        <f>D36-J36</f>
        <v/>
      </c>
      <c r="L36" s="148">
        <f>IF($A36=$C$9,$C$21,0)</f>
        <v/>
      </c>
      <c r="M36" s="149">
        <f>J36+L36</f>
        <v/>
      </c>
      <c r="N36" s="149">
        <f>D36-M36</f>
        <v/>
      </c>
    </row>
    <row r="37" ht="13" customHeight="1">
      <c r="A37" s="147" t="n">
        <v>2</v>
      </c>
      <c r="B37" s="148">
        <f>IF(AND($A37&gt;=$C$8,$A37&lt;=$C$9-1),$C$15*$C$10/($C$9-$C$8),0)</f>
        <v/>
      </c>
      <c r="C37" s="148">
        <f>IF($A37=$C$9,$C$15*(1-$C$10),0)</f>
        <v/>
      </c>
      <c r="D37" s="149">
        <f>B37+C37</f>
        <v/>
      </c>
      <c r="E37" s="148">
        <f>IF($A37=0,$C$16,0)</f>
        <v/>
      </c>
      <c r="F37" s="148">
        <f>IF(AND($A37&gt;=1,$A37&lt;=$C$7),$C$17/$C$7,0)</f>
        <v/>
      </c>
      <c r="G37" s="148">
        <f>IF(AND($A37&gt;=$C$11,$A37&lt;=$C$12),$C$18/($C$12-$C$11+1),0)</f>
        <v/>
      </c>
      <c r="H37" s="148">
        <f>IF(AND($A37&gt;=$C$8,$A37&lt;=$C$9),$C$19/($C$9-$C$8+1),0)</f>
        <v/>
      </c>
      <c r="I37" s="148">
        <f>IF($A37=$C$9,$C$20,0)</f>
        <v/>
      </c>
      <c r="J37" s="149">
        <f>E37+F37+G37+H37+I37</f>
        <v/>
      </c>
      <c r="K37" s="149">
        <f>D37-J37</f>
        <v/>
      </c>
      <c r="L37" s="148">
        <f>IF($A37=$C$9,$C$21,0)</f>
        <v/>
      </c>
      <c r="M37" s="149">
        <f>J37+L37</f>
        <v/>
      </c>
      <c r="N37" s="149">
        <f>D37-M37</f>
        <v/>
      </c>
    </row>
    <row r="38" ht="13" customHeight="1">
      <c r="A38" s="147" t="n">
        <v>3</v>
      </c>
      <c r="B38" s="148">
        <f>IF(AND($A38&gt;=$C$8,$A38&lt;=$C$9-1),$C$15*$C$10/($C$9-$C$8),0)</f>
        <v/>
      </c>
      <c r="C38" s="148">
        <f>IF($A38=$C$9,$C$15*(1-$C$10),0)</f>
        <v/>
      </c>
      <c r="D38" s="149">
        <f>B38+C38</f>
        <v/>
      </c>
      <c r="E38" s="148">
        <f>IF($A38=0,$C$16,0)</f>
        <v/>
      </c>
      <c r="F38" s="148">
        <f>IF(AND($A38&gt;=1,$A38&lt;=$C$7),$C$17/$C$7,0)</f>
        <v/>
      </c>
      <c r="G38" s="148">
        <f>IF(AND($A38&gt;=$C$11,$A38&lt;=$C$12),$C$18/($C$12-$C$11+1),0)</f>
        <v/>
      </c>
      <c r="H38" s="148">
        <f>IF(AND($A38&gt;=$C$8,$A38&lt;=$C$9),$C$19/($C$9-$C$8+1),0)</f>
        <v/>
      </c>
      <c r="I38" s="148">
        <f>IF($A38=$C$9,$C$20,0)</f>
        <v/>
      </c>
      <c r="J38" s="149">
        <f>E38+F38+G38+H38+I38</f>
        <v/>
      </c>
      <c r="K38" s="149">
        <f>D38-J38</f>
        <v/>
      </c>
      <c r="L38" s="148">
        <f>IF($A38=$C$9,$C$21,0)</f>
        <v/>
      </c>
      <c r="M38" s="149">
        <f>J38+L38</f>
        <v/>
      </c>
      <c r="N38" s="149">
        <f>D38-M38</f>
        <v/>
      </c>
    </row>
    <row r="39" ht="13" customHeight="1">
      <c r="A39" s="147" t="n">
        <v>4</v>
      </c>
      <c r="B39" s="148">
        <f>IF(AND($A39&gt;=$C$8,$A39&lt;=$C$9-1),$C$15*$C$10/($C$9-$C$8),0)</f>
        <v/>
      </c>
      <c r="C39" s="148">
        <f>IF($A39=$C$9,$C$15*(1-$C$10),0)</f>
        <v/>
      </c>
      <c r="D39" s="149">
        <f>B39+C39</f>
        <v/>
      </c>
      <c r="E39" s="148">
        <f>IF($A39=0,$C$16,0)</f>
        <v/>
      </c>
      <c r="F39" s="148">
        <f>IF(AND($A39&gt;=1,$A39&lt;=$C$7),$C$17/$C$7,0)</f>
        <v/>
      </c>
      <c r="G39" s="148">
        <f>IF(AND($A39&gt;=$C$11,$A39&lt;=$C$12),$C$18/($C$12-$C$11+1),0)</f>
        <v/>
      </c>
      <c r="H39" s="148">
        <f>IF(AND($A39&gt;=$C$8,$A39&lt;=$C$9),$C$19/($C$9-$C$8+1),0)</f>
        <v/>
      </c>
      <c r="I39" s="148">
        <f>IF($A39=$C$9,$C$20,0)</f>
        <v/>
      </c>
      <c r="J39" s="149">
        <f>E39+F39+G39+H39+I39</f>
        <v/>
      </c>
      <c r="K39" s="149">
        <f>D39-J39</f>
        <v/>
      </c>
      <c r="L39" s="148">
        <f>IF($A39=$C$9,$C$21,0)</f>
        <v/>
      </c>
      <c r="M39" s="149">
        <f>J39+L39</f>
        <v/>
      </c>
      <c r="N39" s="149">
        <f>D39-M39</f>
        <v/>
      </c>
    </row>
    <row r="40" ht="13" customHeight="1">
      <c r="A40" s="147" t="n">
        <v>5</v>
      </c>
      <c r="B40" s="148">
        <f>IF(AND($A40&gt;=$C$8,$A40&lt;=$C$9-1),$C$15*$C$10/($C$9-$C$8),0)</f>
        <v/>
      </c>
      <c r="C40" s="148">
        <f>IF($A40=$C$9,$C$15*(1-$C$10),0)</f>
        <v/>
      </c>
      <c r="D40" s="149">
        <f>B40+C40</f>
        <v/>
      </c>
      <c r="E40" s="148">
        <f>IF($A40=0,$C$16,0)</f>
        <v/>
      </c>
      <c r="F40" s="148">
        <f>IF(AND($A40&gt;=1,$A40&lt;=$C$7),$C$17/$C$7,0)</f>
        <v/>
      </c>
      <c r="G40" s="148">
        <f>IF(AND($A40&gt;=$C$11,$A40&lt;=$C$12),$C$18/($C$12-$C$11+1),0)</f>
        <v/>
      </c>
      <c r="H40" s="148">
        <f>IF(AND($A40&gt;=$C$8,$A40&lt;=$C$9),$C$19/($C$9-$C$8+1),0)</f>
        <v/>
      </c>
      <c r="I40" s="148">
        <f>IF($A40=$C$9,$C$20,0)</f>
        <v/>
      </c>
      <c r="J40" s="149">
        <f>E40+F40+G40+H40+I40</f>
        <v/>
      </c>
      <c r="K40" s="149">
        <f>D40-J40</f>
        <v/>
      </c>
      <c r="L40" s="148">
        <f>IF($A40=$C$9,$C$21,0)</f>
        <v/>
      </c>
      <c r="M40" s="149">
        <f>J40+L40</f>
        <v/>
      </c>
      <c r="N40" s="149">
        <f>D40-M40</f>
        <v/>
      </c>
    </row>
    <row r="41" ht="13" customHeight="1">
      <c r="A41" s="150" t="n">
        <v>6</v>
      </c>
      <c r="B41" s="151">
        <f>IF(AND($A41&gt;=$C$8,$A41&lt;=$C$9-1),$C$15*$C$10/($C$9-$C$8),0)</f>
        <v/>
      </c>
      <c r="C41" s="151">
        <f>IF($A41=$C$9,$C$15*(1-$C$10),0)</f>
        <v/>
      </c>
      <c r="D41" s="152">
        <f>B41+C41</f>
        <v/>
      </c>
      <c r="E41" s="151">
        <f>IF($A41=0,$C$16,0)</f>
        <v/>
      </c>
      <c r="F41" s="151">
        <f>IF(AND($A41&gt;=1,$A41&lt;=$C$7),$C$17/$C$7,0)</f>
        <v/>
      </c>
      <c r="G41" s="151">
        <f>IF(AND($A41&gt;=$C$11,$A41&lt;=$C$12),$C$18/($C$12-$C$11+1),0)</f>
        <v/>
      </c>
      <c r="H41" s="151">
        <f>IF(AND($A41&gt;=$C$8,$A41&lt;=$C$9),$C$19/($C$9-$C$8+1),0)</f>
        <v/>
      </c>
      <c r="I41" s="151">
        <f>IF($A41=$C$9,$C$20,0)</f>
        <v/>
      </c>
      <c r="J41" s="152">
        <f>E41+F41+G41+H41+I41</f>
        <v/>
      </c>
      <c r="K41" s="152">
        <f>D41-J41</f>
        <v/>
      </c>
      <c r="L41" s="151">
        <f>IF($A41=$C$9,$C$21,0)</f>
        <v/>
      </c>
      <c r="M41" s="152">
        <f>J41+L41</f>
        <v/>
      </c>
      <c r="N41" s="152">
        <f>D41-M41</f>
        <v/>
      </c>
    </row>
    <row r="42" ht="13" customHeight="1">
      <c r="A42" s="147" t="n">
        <v>7</v>
      </c>
      <c r="B42" s="148">
        <f>IF(AND($A42&gt;=$C$8,$A42&lt;=$C$9-1),$C$15*$C$10/($C$9-$C$8),0)</f>
        <v/>
      </c>
      <c r="C42" s="148">
        <f>IF($A42=$C$9,$C$15*(1-$C$10),0)</f>
        <v/>
      </c>
      <c r="D42" s="149">
        <f>B42+C42</f>
        <v/>
      </c>
      <c r="E42" s="148">
        <f>IF($A42=0,$C$16,0)</f>
        <v/>
      </c>
      <c r="F42" s="148">
        <f>IF(AND($A42&gt;=1,$A42&lt;=$C$7),$C$17/$C$7,0)</f>
        <v/>
      </c>
      <c r="G42" s="148">
        <f>IF(AND($A42&gt;=$C$11,$A42&lt;=$C$12),$C$18/($C$12-$C$11+1),0)</f>
        <v/>
      </c>
      <c r="H42" s="148">
        <f>IF(AND($A42&gt;=$C$8,$A42&lt;=$C$9),$C$19/($C$9-$C$8+1),0)</f>
        <v/>
      </c>
      <c r="I42" s="148">
        <f>IF($A42=$C$9,$C$20,0)</f>
        <v/>
      </c>
      <c r="J42" s="149">
        <f>E42+F42+G42+H42+I42</f>
        <v/>
      </c>
      <c r="K42" s="149">
        <f>D42-J42</f>
        <v/>
      </c>
      <c r="L42" s="148">
        <f>IF($A42=$C$9,$C$21,0)</f>
        <v/>
      </c>
      <c r="M42" s="149">
        <f>J42+L42</f>
        <v/>
      </c>
      <c r="N42" s="149">
        <f>D42-M42</f>
        <v/>
      </c>
    </row>
    <row r="43" ht="13" customHeight="1">
      <c r="A43" s="147" t="n">
        <v>8</v>
      </c>
      <c r="B43" s="148">
        <f>IF(AND($A43&gt;=$C$8,$A43&lt;=$C$9-1),$C$15*$C$10/($C$9-$C$8),0)</f>
        <v/>
      </c>
      <c r="C43" s="148">
        <f>IF($A43=$C$9,$C$15*(1-$C$10),0)</f>
        <v/>
      </c>
      <c r="D43" s="149">
        <f>B43+C43</f>
        <v/>
      </c>
      <c r="E43" s="148">
        <f>IF($A43=0,$C$16,0)</f>
        <v/>
      </c>
      <c r="F43" s="148">
        <f>IF(AND($A43&gt;=1,$A43&lt;=$C$7),$C$17/$C$7,0)</f>
        <v/>
      </c>
      <c r="G43" s="148">
        <f>IF(AND($A43&gt;=$C$11,$A43&lt;=$C$12),$C$18/($C$12-$C$11+1),0)</f>
        <v/>
      </c>
      <c r="H43" s="148">
        <f>IF(AND($A43&gt;=$C$8,$A43&lt;=$C$9),$C$19/($C$9-$C$8+1),0)</f>
        <v/>
      </c>
      <c r="I43" s="148">
        <f>IF($A43=$C$9,$C$20,0)</f>
        <v/>
      </c>
      <c r="J43" s="149">
        <f>E43+F43+G43+H43+I43</f>
        <v/>
      </c>
      <c r="K43" s="149">
        <f>D43-J43</f>
        <v/>
      </c>
      <c r="L43" s="148">
        <f>IF($A43=$C$9,$C$21,0)</f>
        <v/>
      </c>
      <c r="M43" s="149">
        <f>J43+L43</f>
        <v/>
      </c>
      <c r="N43" s="149">
        <f>D43-M43</f>
        <v/>
      </c>
    </row>
    <row r="44" ht="13" customHeight="1">
      <c r="A44" s="147" t="n">
        <v>9</v>
      </c>
      <c r="B44" s="148">
        <f>IF(AND($A44&gt;=$C$8,$A44&lt;=$C$9-1),$C$15*$C$10/($C$9-$C$8),0)</f>
        <v/>
      </c>
      <c r="C44" s="148">
        <f>IF($A44=$C$9,$C$15*(1-$C$10),0)</f>
        <v/>
      </c>
      <c r="D44" s="149">
        <f>B44+C44</f>
        <v/>
      </c>
      <c r="E44" s="148">
        <f>IF($A44=0,$C$16,0)</f>
        <v/>
      </c>
      <c r="F44" s="148">
        <f>IF(AND($A44&gt;=1,$A44&lt;=$C$7),$C$17/$C$7,0)</f>
        <v/>
      </c>
      <c r="G44" s="148">
        <f>IF(AND($A44&gt;=$C$11,$A44&lt;=$C$12),$C$18/($C$12-$C$11+1),0)</f>
        <v/>
      </c>
      <c r="H44" s="148">
        <f>IF(AND($A44&gt;=$C$8,$A44&lt;=$C$9),$C$19/($C$9-$C$8+1),0)</f>
        <v/>
      </c>
      <c r="I44" s="148">
        <f>IF($A44=$C$9,$C$20,0)</f>
        <v/>
      </c>
      <c r="J44" s="149">
        <f>E44+F44+G44+H44+I44</f>
        <v/>
      </c>
      <c r="K44" s="149">
        <f>D44-J44</f>
        <v/>
      </c>
      <c r="L44" s="148">
        <f>IF($A44=$C$9,$C$21,0)</f>
        <v/>
      </c>
      <c r="M44" s="149">
        <f>J44+L44</f>
        <v/>
      </c>
      <c r="N44" s="149">
        <f>D44-M44</f>
        <v/>
      </c>
    </row>
    <row r="45" ht="13" customHeight="1">
      <c r="A45" s="147" t="n">
        <v>10</v>
      </c>
      <c r="B45" s="148">
        <f>IF(AND($A45&gt;=$C$8,$A45&lt;=$C$9-1),$C$15*$C$10/($C$9-$C$8),0)</f>
        <v/>
      </c>
      <c r="C45" s="148">
        <f>IF($A45=$C$9,$C$15*(1-$C$10),0)</f>
        <v/>
      </c>
      <c r="D45" s="149">
        <f>B45+C45</f>
        <v/>
      </c>
      <c r="E45" s="148">
        <f>IF($A45=0,$C$16,0)</f>
        <v/>
      </c>
      <c r="F45" s="148">
        <f>IF(AND($A45&gt;=1,$A45&lt;=$C$7),$C$17/$C$7,0)</f>
        <v/>
      </c>
      <c r="G45" s="148">
        <f>IF(AND($A45&gt;=$C$11,$A45&lt;=$C$12),$C$18/($C$12-$C$11+1),0)</f>
        <v/>
      </c>
      <c r="H45" s="148">
        <f>IF(AND($A45&gt;=$C$8,$A45&lt;=$C$9),$C$19/($C$9-$C$8+1),0)</f>
        <v/>
      </c>
      <c r="I45" s="148">
        <f>IF($A45=$C$9,$C$20,0)</f>
        <v/>
      </c>
      <c r="J45" s="149">
        <f>E45+F45+G45+H45+I45</f>
        <v/>
      </c>
      <c r="K45" s="149">
        <f>D45-J45</f>
        <v/>
      </c>
      <c r="L45" s="148">
        <f>IF($A45=$C$9,$C$21,0)</f>
        <v/>
      </c>
      <c r="M45" s="149">
        <f>J45+L45</f>
        <v/>
      </c>
      <c r="N45" s="149">
        <f>D45-M45</f>
        <v/>
      </c>
    </row>
    <row r="46" ht="13" customHeight="1">
      <c r="A46" s="147" t="n">
        <v>11</v>
      </c>
      <c r="B46" s="148">
        <f>IF(AND($A46&gt;=$C$8,$A46&lt;=$C$9-1),$C$15*$C$10/($C$9-$C$8),0)</f>
        <v/>
      </c>
      <c r="C46" s="148">
        <f>IF($A46=$C$9,$C$15*(1-$C$10),0)</f>
        <v/>
      </c>
      <c r="D46" s="149">
        <f>B46+C46</f>
        <v/>
      </c>
      <c r="E46" s="148">
        <f>IF($A46=0,$C$16,0)</f>
        <v/>
      </c>
      <c r="F46" s="148">
        <f>IF(AND($A46&gt;=1,$A46&lt;=$C$7),$C$17/$C$7,0)</f>
        <v/>
      </c>
      <c r="G46" s="148">
        <f>IF(AND($A46&gt;=$C$11,$A46&lt;=$C$12),$C$18/($C$12-$C$11+1),0)</f>
        <v/>
      </c>
      <c r="H46" s="148">
        <f>IF(AND($A46&gt;=$C$8,$A46&lt;=$C$9),$C$19/($C$9-$C$8+1),0)</f>
        <v/>
      </c>
      <c r="I46" s="148">
        <f>IF($A46=$C$9,$C$20,0)</f>
        <v/>
      </c>
      <c r="J46" s="149">
        <f>E46+F46+G46+H46+I46</f>
        <v/>
      </c>
      <c r="K46" s="149">
        <f>D46-J46</f>
        <v/>
      </c>
      <c r="L46" s="148">
        <f>IF($A46=$C$9,$C$21,0)</f>
        <v/>
      </c>
      <c r="M46" s="149">
        <f>J46+L46</f>
        <v/>
      </c>
      <c r="N46" s="149">
        <f>D46-M46</f>
        <v/>
      </c>
    </row>
    <row r="47" ht="13" customHeight="1">
      <c r="A47" s="150" t="n">
        <v>12</v>
      </c>
      <c r="B47" s="151">
        <f>IF(AND($A47&gt;=$C$8,$A47&lt;=$C$9-1),$C$15*$C$10/($C$9-$C$8),0)</f>
        <v/>
      </c>
      <c r="C47" s="151">
        <f>IF($A47=$C$9,$C$15*(1-$C$10),0)</f>
        <v/>
      </c>
      <c r="D47" s="152">
        <f>B47+C47</f>
        <v/>
      </c>
      <c r="E47" s="151">
        <f>IF($A47=0,$C$16,0)</f>
        <v/>
      </c>
      <c r="F47" s="151">
        <f>IF(AND($A47&gt;=1,$A47&lt;=$C$7),$C$17/$C$7,0)</f>
        <v/>
      </c>
      <c r="G47" s="151">
        <f>IF(AND($A47&gt;=$C$11,$A47&lt;=$C$12),$C$18/($C$12-$C$11+1),0)</f>
        <v/>
      </c>
      <c r="H47" s="151">
        <f>IF(AND($A47&gt;=$C$8,$A47&lt;=$C$9),$C$19/($C$9-$C$8+1),0)</f>
        <v/>
      </c>
      <c r="I47" s="151">
        <f>IF($A47=$C$9,$C$20,0)</f>
        <v/>
      </c>
      <c r="J47" s="152">
        <f>E47+F47+G47+H47+I47</f>
        <v/>
      </c>
      <c r="K47" s="152">
        <f>D47-J47</f>
        <v/>
      </c>
      <c r="L47" s="151">
        <f>IF($A47=$C$9,$C$21,0)</f>
        <v/>
      </c>
      <c r="M47" s="152">
        <f>J47+L47</f>
        <v/>
      </c>
      <c r="N47" s="152">
        <f>D47-M47</f>
        <v/>
      </c>
    </row>
    <row r="48" ht="13" customHeight="1">
      <c r="A48" s="147" t="n">
        <v>13</v>
      </c>
      <c r="B48" s="148">
        <f>IF(AND($A48&gt;=$C$8,$A48&lt;=$C$9-1),$C$15*$C$10/($C$9-$C$8),0)</f>
        <v/>
      </c>
      <c r="C48" s="148">
        <f>IF($A48=$C$9,$C$15*(1-$C$10),0)</f>
        <v/>
      </c>
      <c r="D48" s="149">
        <f>B48+C48</f>
        <v/>
      </c>
      <c r="E48" s="148">
        <f>IF($A48=0,$C$16,0)</f>
        <v/>
      </c>
      <c r="F48" s="148">
        <f>IF(AND($A48&gt;=1,$A48&lt;=$C$7),$C$17/$C$7,0)</f>
        <v/>
      </c>
      <c r="G48" s="148">
        <f>IF(AND($A48&gt;=$C$11,$A48&lt;=$C$12),$C$18/($C$12-$C$11+1),0)</f>
        <v/>
      </c>
      <c r="H48" s="148">
        <f>IF(AND($A48&gt;=$C$8,$A48&lt;=$C$9),$C$19/($C$9-$C$8+1),0)</f>
        <v/>
      </c>
      <c r="I48" s="148">
        <f>IF($A48=$C$9,$C$20,0)</f>
        <v/>
      </c>
      <c r="J48" s="149">
        <f>E48+F48+G48+H48+I48</f>
        <v/>
      </c>
      <c r="K48" s="149">
        <f>D48-J48</f>
        <v/>
      </c>
      <c r="L48" s="148">
        <f>IF($A48=$C$9,$C$21,0)</f>
        <v/>
      </c>
      <c r="M48" s="149">
        <f>J48+L48</f>
        <v/>
      </c>
      <c r="N48" s="149">
        <f>D48-M48</f>
        <v/>
      </c>
    </row>
    <row r="49" ht="13" customHeight="1">
      <c r="A49" s="147" t="n">
        <v>14</v>
      </c>
      <c r="B49" s="148">
        <f>IF(AND($A49&gt;=$C$8,$A49&lt;=$C$9-1),$C$15*$C$10/($C$9-$C$8),0)</f>
        <v/>
      </c>
      <c r="C49" s="148">
        <f>IF($A49=$C$9,$C$15*(1-$C$10),0)</f>
        <v/>
      </c>
      <c r="D49" s="149">
        <f>B49+C49</f>
        <v/>
      </c>
      <c r="E49" s="148">
        <f>IF($A49=0,$C$16,0)</f>
        <v/>
      </c>
      <c r="F49" s="148">
        <f>IF(AND($A49&gt;=1,$A49&lt;=$C$7),$C$17/$C$7,0)</f>
        <v/>
      </c>
      <c r="G49" s="148">
        <f>IF(AND($A49&gt;=$C$11,$A49&lt;=$C$12),$C$18/($C$12-$C$11+1),0)</f>
        <v/>
      </c>
      <c r="H49" s="148">
        <f>IF(AND($A49&gt;=$C$8,$A49&lt;=$C$9),$C$19/($C$9-$C$8+1),0)</f>
        <v/>
      </c>
      <c r="I49" s="148">
        <f>IF($A49=$C$9,$C$20,0)</f>
        <v/>
      </c>
      <c r="J49" s="149">
        <f>E49+F49+G49+H49+I49</f>
        <v/>
      </c>
      <c r="K49" s="149">
        <f>D49-J49</f>
        <v/>
      </c>
      <c r="L49" s="148">
        <f>IF($A49=$C$9,$C$21,0)</f>
        <v/>
      </c>
      <c r="M49" s="149">
        <f>J49+L49</f>
        <v/>
      </c>
      <c r="N49" s="149">
        <f>D49-M49</f>
        <v/>
      </c>
    </row>
    <row r="50" ht="13" customHeight="1">
      <c r="A50" s="147" t="n">
        <v>15</v>
      </c>
      <c r="B50" s="148">
        <f>IF(AND($A50&gt;=$C$8,$A50&lt;=$C$9-1),$C$15*$C$10/($C$9-$C$8),0)</f>
        <v/>
      </c>
      <c r="C50" s="148">
        <f>IF($A50=$C$9,$C$15*(1-$C$10),0)</f>
        <v/>
      </c>
      <c r="D50" s="149">
        <f>B50+C50</f>
        <v/>
      </c>
      <c r="E50" s="148">
        <f>IF($A50=0,$C$16,0)</f>
        <v/>
      </c>
      <c r="F50" s="148">
        <f>IF(AND($A50&gt;=1,$A50&lt;=$C$7),$C$17/$C$7,0)</f>
        <v/>
      </c>
      <c r="G50" s="148">
        <f>IF(AND($A50&gt;=$C$11,$A50&lt;=$C$12),$C$18/($C$12-$C$11+1),0)</f>
        <v/>
      </c>
      <c r="H50" s="148">
        <f>IF(AND($A50&gt;=$C$8,$A50&lt;=$C$9),$C$19/($C$9-$C$8+1),0)</f>
        <v/>
      </c>
      <c r="I50" s="148">
        <f>IF($A50=$C$9,$C$20,0)</f>
        <v/>
      </c>
      <c r="J50" s="149">
        <f>E50+F50+G50+H50+I50</f>
        <v/>
      </c>
      <c r="K50" s="149">
        <f>D50-J50</f>
        <v/>
      </c>
      <c r="L50" s="148">
        <f>IF($A50=$C$9,$C$21,0)</f>
        <v/>
      </c>
      <c r="M50" s="149">
        <f>J50+L50</f>
        <v/>
      </c>
      <c r="N50" s="149">
        <f>D50-M50</f>
        <v/>
      </c>
    </row>
    <row r="51" ht="13" customHeight="1">
      <c r="A51" s="147" t="n">
        <v>16</v>
      </c>
      <c r="B51" s="148">
        <f>IF(AND($A51&gt;=$C$8,$A51&lt;=$C$9-1),$C$15*$C$10/($C$9-$C$8),0)</f>
        <v/>
      </c>
      <c r="C51" s="148">
        <f>IF($A51=$C$9,$C$15*(1-$C$10),0)</f>
        <v/>
      </c>
      <c r="D51" s="149">
        <f>B51+C51</f>
        <v/>
      </c>
      <c r="E51" s="148">
        <f>IF($A51=0,$C$16,0)</f>
        <v/>
      </c>
      <c r="F51" s="148">
        <f>IF(AND($A51&gt;=1,$A51&lt;=$C$7),$C$17/$C$7,0)</f>
        <v/>
      </c>
      <c r="G51" s="148">
        <f>IF(AND($A51&gt;=$C$11,$A51&lt;=$C$12),$C$18/($C$12-$C$11+1),0)</f>
        <v/>
      </c>
      <c r="H51" s="148">
        <f>IF(AND($A51&gt;=$C$8,$A51&lt;=$C$9),$C$19/($C$9-$C$8+1),0)</f>
        <v/>
      </c>
      <c r="I51" s="148">
        <f>IF($A51=$C$9,$C$20,0)</f>
        <v/>
      </c>
      <c r="J51" s="149">
        <f>E51+F51+G51+H51+I51</f>
        <v/>
      </c>
      <c r="K51" s="149">
        <f>D51-J51</f>
        <v/>
      </c>
      <c r="L51" s="148">
        <f>IF($A51=$C$9,$C$21,0)</f>
        <v/>
      </c>
      <c r="M51" s="149">
        <f>J51+L51</f>
        <v/>
      </c>
      <c r="N51" s="149">
        <f>D51-M51</f>
        <v/>
      </c>
    </row>
    <row r="52" ht="13" customHeight="1">
      <c r="A52" s="147" t="n">
        <v>17</v>
      </c>
      <c r="B52" s="148">
        <f>IF(AND($A52&gt;=$C$8,$A52&lt;=$C$9-1),$C$15*$C$10/($C$9-$C$8),0)</f>
        <v/>
      </c>
      <c r="C52" s="148">
        <f>IF($A52=$C$9,$C$15*(1-$C$10),0)</f>
        <v/>
      </c>
      <c r="D52" s="149">
        <f>B52+C52</f>
        <v/>
      </c>
      <c r="E52" s="148">
        <f>IF($A52=0,$C$16,0)</f>
        <v/>
      </c>
      <c r="F52" s="148">
        <f>IF(AND($A52&gt;=1,$A52&lt;=$C$7),$C$17/$C$7,0)</f>
        <v/>
      </c>
      <c r="G52" s="148">
        <f>IF(AND($A52&gt;=$C$11,$A52&lt;=$C$12),$C$18/($C$12-$C$11+1),0)</f>
        <v/>
      </c>
      <c r="H52" s="148">
        <f>IF(AND($A52&gt;=$C$8,$A52&lt;=$C$9),$C$19/($C$9-$C$8+1),0)</f>
        <v/>
      </c>
      <c r="I52" s="148">
        <f>IF($A52=$C$9,$C$20,0)</f>
        <v/>
      </c>
      <c r="J52" s="149">
        <f>E52+F52+G52+H52+I52</f>
        <v/>
      </c>
      <c r="K52" s="149">
        <f>D52-J52</f>
        <v/>
      </c>
      <c r="L52" s="148">
        <f>IF($A52=$C$9,$C$21,0)</f>
        <v/>
      </c>
      <c r="M52" s="149">
        <f>J52+L52</f>
        <v/>
      </c>
      <c r="N52" s="149">
        <f>D52-M52</f>
        <v/>
      </c>
    </row>
    <row r="53" ht="13" customHeight="1">
      <c r="A53" s="150" t="n">
        <v>18</v>
      </c>
      <c r="B53" s="151">
        <f>IF(AND($A53&gt;=$C$8,$A53&lt;=$C$9-1),$C$15*$C$10/($C$9-$C$8),0)</f>
        <v/>
      </c>
      <c r="C53" s="151">
        <f>IF($A53=$C$9,$C$15*(1-$C$10),0)</f>
        <v/>
      </c>
      <c r="D53" s="152">
        <f>B53+C53</f>
        <v/>
      </c>
      <c r="E53" s="151">
        <f>IF($A53=0,$C$16,0)</f>
        <v/>
      </c>
      <c r="F53" s="151">
        <f>IF(AND($A53&gt;=1,$A53&lt;=$C$7),$C$17/$C$7,0)</f>
        <v/>
      </c>
      <c r="G53" s="151">
        <f>IF(AND($A53&gt;=$C$11,$A53&lt;=$C$12),$C$18/($C$12-$C$11+1),0)</f>
        <v/>
      </c>
      <c r="H53" s="151">
        <f>IF(AND($A53&gt;=$C$8,$A53&lt;=$C$9),$C$19/($C$9-$C$8+1),0)</f>
        <v/>
      </c>
      <c r="I53" s="151">
        <f>IF($A53=$C$9,$C$20,0)</f>
        <v/>
      </c>
      <c r="J53" s="152">
        <f>E53+F53+G53+H53+I53</f>
        <v/>
      </c>
      <c r="K53" s="152">
        <f>D53-J53</f>
        <v/>
      </c>
      <c r="L53" s="151">
        <f>IF($A53=$C$9,$C$21,0)</f>
        <v/>
      </c>
      <c r="M53" s="152">
        <f>J53+L53</f>
        <v/>
      </c>
      <c r="N53" s="152">
        <f>D53-M53</f>
        <v/>
      </c>
    </row>
    <row r="54" ht="13" customHeight="1">
      <c r="A54" s="147" t="n">
        <v>19</v>
      </c>
      <c r="B54" s="148">
        <f>IF(AND($A54&gt;=$C$8,$A54&lt;=$C$9-1),$C$15*$C$10/($C$9-$C$8),0)</f>
        <v/>
      </c>
      <c r="C54" s="148">
        <f>IF($A54=$C$9,$C$15*(1-$C$10),0)</f>
        <v/>
      </c>
      <c r="D54" s="149">
        <f>B54+C54</f>
        <v/>
      </c>
      <c r="E54" s="148">
        <f>IF($A54=0,$C$16,0)</f>
        <v/>
      </c>
      <c r="F54" s="148">
        <f>IF(AND($A54&gt;=1,$A54&lt;=$C$7),$C$17/$C$7,0)</f>
        <v/>
      </c>
      <c r="G54" s="148">
        <f>IF(AND($A54&gt;=$C$11,$A54&lt;=$C$12),$C$18/($C$12-$C$11+1),0)</f>
        <v/>
      </c>
      <c r="H54" s="148">
        <f>IF(AND($A54&gt;=$C$8,$A54&lt;=$C$9),$C$19/($C$9-$C$8+1),0)</f>
        <v/>
      </c>
      <c r="I54" s="148">
        <f>IF($A54=$C$9,$C$20,0)</f>
        <v/>
      </c>
      <c r="J54" s="149">
        <f>E54+F54+G54+H54+I54</f>
        <v/>
      </c>
      <c r="K54" s="149">
        <f>D54-J54</f>
        <v/>
      </c>
      <c r="L54" s="148">
        <f>IF($A54=$C$9,$C$21,0)</f>
        <v/>
      </c>
      <c r="M54" s="149">
        <f>J54+L54</f>
        <v/>
      </c>
      <c r="N54" s="149">
        <f>D54-M54</f>
        <v/>
      </c>
    </row>
    <row r="55" ht="13" customHeight="1">
      <c r="A55" s="147" t="n">
        <v>20</v>
      </c>
      <c r="B55" s="148">
        <f>IF(AND($A55&gt;=$C$8,$A55&lt;=$C$9-1),$C$15*$C$10/($C$9-$C$8),0)</f>
        <v/>
      </c>
      <c r="C55" s="148">
        <f>IF($A55=$C$9,$C$15*(1-$C$10),0)</f>
        <v/>
      </c>
      <c r="D55" s="149">
        <f>B55+C55</f>
        <v/>
      </c>
      <c r="E55" s="148">
        <f>IF($A55=0,$C$16,0)</f>
        <v/>
      </c>
      <c r="F55" s="148">
        <f>IF(AND($A55&gt;=1,$A55&lt;=$C$7),$C$17/$C$7,0)</f>
        <v/>
      </c>
      <c r="G55" s="148">
        <f>IF(AND($A55&gt;=$C$11,$A55&lt;=$C$12),$C$18/($C$12-$C$11+1),0)</f>
        <v/>
      </c>
      <c r="H55" s="148">
        <f>IF(AND($A55&gt;=$C$8,$A55&lt;=$C$9),$C$19/($C$9-$C$8+1),0)</f>
        <v/>
      </c>
      <c r="I55" s="148">
        <f>IF($A55=$C$9,$C$20,0)</f>
        <v/>
      </c>
      <c r="J55" s="149">
        <f>E55+F55+G55+H55+I55</f>
        <v/>
      </c>
      <c r="K55" s="149">
        <f>D55-J55</f>
        <v/>
      </c>
      <c r="L55" s="148">
        <f>IF($A55=$C$9,$C$21,0)</f>
        <v/>
      </c>
      <c r="M55" s="149">
        <f>J55+L55</f>
        <v/>
      </c>
      <c r="N55" s="149">
        <f>D55-M55</f>
        <v/>
      </c>
    </row>
    <row r="56" ht="13" customHeight="1">
      <c r="A56" s="147" t="n">
        <v>21</v>
      </c>
      <c r="B56" s="148">
        <f>IF(AND($A56&gt;=$C$8,$A56&lt;=$C$9-1),$C$15*$C$10/($C$9-$C$8),0)</f>
        <v/>
      </c>
      <c r="C56" s="148">
        <f>IF($A56=$C$9,$C$15*(1-$C$10),0)</f>
        <v/>
      </c>
      <c r="D56" s="149">
        <f>B56+C56</f>
        <v/>
      </c>
      <c r="E56" s="148">
        <f>IF($A56=0,$C$16,0)</f>
        <v/>
      </c>
      <c r="F56" s="148">
        <f>IF(AND($A56&gt;=1,$A56&lt;=$C$7),$C$17/$C$7,0)</f>
        <v/>
      </c>
      <c r="G56" s="148">
        <f>IF(AND($A56&gt;=$C$11,$A56&lt;=$C$12),$C$18/($C$12-$C$11+1),0)</f>
        <v/>
      </c>
      <c r="H56" s="148">
        <f>IF(AND($A56&gt;=$C$8,$A56&lt;=$C$9),$C$19/($C$9-$C$8+1),0)</f>
        <v/>
      </c>
      <c r="I56" s="148">
        <f>IF($A56=$C$9,$C$20,0)</f>
        <v/>
      </c>
      <c r="J56" s="149">
        <f>E56+F56+G56+H56+I56</f>
        <v/>
      </c>
      <c r="K56" s="149">
        <f>D56-J56</f>
        <v/>
      </c>
      <c r="L56" s="148">
        <f>IF($A56=$C$9,$C$21,0)</f>
        <v/>
      </c>
      <c r="M56" s="149">
        <f>J56+L56</f>
        <v/>
      </c>
      <c r="N56" s="149">
        <f>D56-M56</f>
        <v/>
      </c>
    </row>
    <row r="57" ht="13" customHeight="1">
      <c r="A57" s="147" t="n">
        <v>22</v>
      </c>
      <c r="B57" s="148">
        <f>IF(AND($A57&gt;=$C$8,$A57&lt;=$C$9-1),$C$15*$C$10/($C$9-$C$8),0)</f>
        <v/>
      </c>
      <c r="C57" s="148">
        <f>IF($A57=$C$9,$C$15*(1-$C$10),0)</f>
        <v/>
      </c>
      <c r="D57" s="149">
        <f>B57+C57</f>
        <v/>
      </c>
      <c r="E57" s="148">
        <f>IF($A57=0,$C$16,0)</f>
        <v/>
      </c>
      <c r="F57" s="148">
        <f>IF(AND($A57&gt;=1,$A57&lt;=$C$7),$C$17/$C$7,0)</f>
        <v/>
      </c>
      <c r="G57" s="148">
        <f>IF(AND($A57&gt;=$C$11,$A57&lt;=$C$12),$C$18/($C$12-$C$11+1),0)</f>
        <v/>
      </c>
      <c r="H57" s="148">
        <f>IF(AND($A57&gt;=$C$8,$A57&lt;=$C$9),$C$19/($C$9-$C$8+1),0)</f>
        <v/>
      </c>
      <c r="I57" s="148">
        <f>IF($A57=$C$9,$C$20,0)</f>
        <v/>
      </c>
      <c r="J57" s="149">
        <f>E57+F57+G57+H57+I57</f>
        <v/>
      </c>
      <c r="K57" s="149">
        <f>D57-J57</f>
        <v/>
      </c>
      <c r="L57" s="148">
        <f>IF($A57=$C$9,$C$21,0)</f>
        <v/>
      </c>
      <c r="M57" s="149">
        <f>J57+L57</f>
        <v/>
      </c>
      <c r="N57" s="149">
        <f>D57-M57</f>
        <v/>
      </c>
    </row>
    <row r="58" ht="13" customHeight="1">
      <c r="A58" s="147" t="n">
        <v>23</v>
      </c>
      <c r="B58" s="153">
        <f>IF(AND($A58&gt;=$C$8,$A58&lt;=$C$9-1),$C$15*$C$10/($C$9-$C$8),0)</f>
        <v/>
      </c>
      <c r="C58" s="153">
        <f>IF($A58=$C$9,$C$15*(1-$C$10),0)</f>
        <v/>
      </c>
      <c r="D58" s="154">
        <f>B58+C58</f>
        <v/>
      </c>
      <c r="E58" s="153">
        <f>IF($A58=0,$C$16,0)</f>
        <v/>
      </c>
      <c r="F58" s="153">
        <f>IF(AND($A58&gt;=1,$A58&lt;=$C$7),$C$17/$C$7,0)</f>
        <v/>
      </c>
      <c r="G58" s="153">
        <f>IF(AND($A58&gt;=$C$11,$A58&lt;=$C$12),$C$18/($C$12-$C$11+1),0)</f>
        <v/>
      </c>
      <c r="H58" s="153">
        <f>IF(AND($A58&gt;=$C$8,$A58&lt;=$C$9),$C$19/($C$9-$C$8+1),0)</f>
        <v/>
      </c>
      <c r="I58" s="153">
        <f>IF($A58=$C$9,$C$20,0)</f>
        <v/>
      </c>
      <c r="J58" s="154">
        <f>E58+F58+G58+H58+I58</f>
        <v/>
      </c>
      <c r="K58" s="154">
        <f>D58-J58</f>
        <v/>
      </c>
      <c r="L58" s="153">
        <f>IF($A58=$C$9,$C$21,0)</f>
        <v/>
      </c>
      <c r="M58" s="154">
        <f>J58+L58</f>
        <v/>
      </c>
      <c r="N58" s="154">
        <f>D58-M58</f>
        <v/>
      </c>
    </row>
    <row r="59" ht="6" customHeight="1"/>
    <row r="60" ht="6" customHeight="1"/>
    <row r="61" ht="15" customHeight="1">
      <c r="A61" s="139" t="inlineStr">
        <is>
          <t>RESULTADOS</t>
        </is>
      </c>
    </row>
    <row r="62" ht="6" customHeight="1"/>
    <row r="63" ht="15" customHeight="1">
      <c r="A63" s="155" t="inlineStr">
        <is>
          <t>VAN Proyecto Puro (UF)</t>
        </is>
      </c>
      <c r="C63" s="156">
        <f>K35+NPV(C4,K36:K58)</f>
        <v/>
      </c>
    </row>
    <row r="64" ht="15" customHeight="1">
      <c r="A64" s="155" t="inlineStr">
        <is>
          <t>VAN Proyecto Financiado (UF)</t>
        </is>
      </c>
      <c r="C64" s="156">
        <f>N35+NPV(C4,N36:N58)</f>
        <v/>
      </c>
    </row>
    <row r="65" ht="6" customHeight="1"/>
    <row r="66" ht="15" customHeight="1">
      <c r="A66" s="135" t="inlineStr">
        <is>
          <t>TIR mensual Proyecto Puro</t>
        </is>
      </c>
      <c r="C66" s="157">
        <f>IRR(K35:K58)</f>
        <v/>
      </c>
    </row>
    <row r="67" ht="15" customHeight="1">
      <c r="A67" s="135" t="inlineStr">
        <is>
          <t>TIR mensual Proyecto Financiado</t>
        </is>
      </c>
      <c r="C67" s="157">
        <f>IRR(N35:N58)</f>
        <v/>
      </c>
    </row>
    <row r="68" ht="6" customHeight="1"/>
    <row r="69" ht="15" customHeight="1">
      <c r="A69" s="155" t="inlineStr">
        <is>
          <t>TIR anual Proyecto Puro</t>
        </is>
      </c>
      <c r="C69" s="158">
        <f>(1+IRR(K35:K58))^12-1</f>
        <v/>
      </c>
    </row>
    <row r="70" ht="15" customHeight="1">
      <c r="A70" s="155" t="inlineStr">
        <is>
          <t>TIR anual Proyecto Financiado</t>
        </is>
      </c>
      <c r="C70" s="158">
        <f>(1+IRR(N35:N58))^12-1</f>
        <v/>
      </c>
    </row>
    <row r="71" ht="6" customHeight="1"/>
    <row r="72">
      <c r="A72" s="159" t="inlineStr">
        <is>
          <t>Nota: Los valores de TIR anual calculados arriba actualizan automáticamente las celdas D18 y D19 de la hoja "Resultados".</t>
        </is>
      </c>
    </row>
    <row r="74">
      <c r="A74" s="155" t="inlineStr">
        <is>
          <t>Leyenda:</t>
        </is>
      </c>
    </row>
    <row r="75" ht="13.5" customHeight="1">
      <c r="A75" s="160" t="inlineStr">
        <is>
          <t xml:space="preserve">  Input (editable)</t>
        </is>
      </c>
    </row>
    <row r="76" ht="13.5" customHeight="1">
      <c r="A76" s="161" t="inlineStr">
        <is>
          <t xml:space="preserve">  Fórmula (calculada)</t>
        </is>
      </c>
    </row>
    <row r="77" ht="13.5" customHeight="1">
      <c r="A77" s="162" t="inlineStr">
        <is>
          <t xml:space="preserve">  Referencia cruzada (otra hoja)</t>
        </is>
      </c>
    </row>
  </sheetData>
  <mergeCells count="5">
    <mergeCell ref="A61:D61"/>
    <mergeCell ref="A3:D3"/>
    <mergeCell ref="A25:D25"/>
    <mergeCell ref="A33:N3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2026-03-09T21:20:07Z</dcterms:created>
  <dcterms:modified xsi:type="dcterms:W3CDTF">2026-03-12T22:50:31Z</dcterms:modified>
  <cp:lastModifiedBy>Marcelo Daniel Bauza</cp:lastModifiedBy>
  <cp:revision>0</cp:revision>
</cp:coreProperties>
</file>